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3 Project Statements/"/>
    </mc:Choice>
  </mc:AlternateContent>
  <xr:revisionPtr revIDLastSave="213" documentId="8_{0192D81B-B65E-4BA2-8AAC-721E7035FB94}" xr6:coauthVersionLast="47" xr6:coauthVersionMax="47" xr10:uidLastSave="{2A60139A-90EC-4381-BA90-8CBA51B29349}"/>
  <bookViews>
    <workbookView xWindow="-108" yWindow="-108" windowWidth="23256" windowHeight="13896" tabRatio="870" activeTab="1" xr2:uid="{00000000-000D-0000-FFFF-FFFF00000000}"/>
  </bookViews>
  <sheets>
    <sheet name="Invoice — Region 2" sheetId="14" r:id="rId1"/>
    <sheet name="Invoice — Region 5" sheetId="16" r:id="rId2"/>
  </sheets>
  <definedNames>
    <definedName name="_xlnm.Print_Area" localSheetId="0">'Invoice — Region 2'!$A$1:$H$39</definedName>
    <definedName name="_xlnm.Print_Area" localSheetId="1">'Invoice — Region 5'!$A$1:$H$39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6" l="1"/>
  <c r="F12" i="16" s="1"/>
  <c r="G12" i="16" s="1"/>
  <c r="H32" i="16" s="1"/>
  <c r="E33" i="16" s="1"/>
  <c r="E12" i="14"/>
  <c r="F12" i="14" s="1"/>
  <c r="G12" i="14" s="1"/>
  <c r="H32" i="14" s="1"/>
  <c r="E33" i="14" s="1"/>
</calcChain>
</file>

<file path=xl/sharedStrings.xml><?xml version="1.0" encoding="utf-8"?>
<sst xmlns="http://schemas.openxmlformats.org/spreadsheetml/2006/main" count="56" uniqueCount="29">
  <si>
    <t>Tel: 012 880 3155  |  Cell: 073 124 1535  |  Fax: 086 603 7935</t>
  </si>
  <si>
    <t>Reg No: 2013/029173/07 |  www.sithembe.co.za</t>
  </si>
  <si>
    <t>Email: accounts@sithembe.co.za  |  info@sithembe.co.za</t>
  </si>
  <si>
    <t>Contract Ref: HS 02-2025/26</t>
  </si>
  <si>
    <t>City of Tshwane</t>
  </si>
  <si>
    <t>PO Box 6338</t>
  </si>
  <si>
    <t>Pretoria</t>
  </si>
  <si>
    <t>0001</t>
  </si>
  <si>
    <t>Date</t>
  </si>
  <si>
    <t>VAToilet Number: 4070272101 | Vendor No: 101776</t>
  </si>
  <si>
    <t>STATEMENT TO:</t>
  </si>
  <si>
    <t>PROJECT STATEMENT</t>
  </si>
  <si>
    <t>Invoice Number</t>
  </si>
  <si>
    <t>Description</t>
  </si>
  <si>
    <t>Sub Total</t>
  </si>
  <si>
    <t>VAT</t>
  </si>
  <si>
    <t>Total</t>
  </si>
  <si>
    <t>Debit</t>
  </si>
  <si>
    <t>Credit</t>
  </si>
  <si>
    <t>STP-INV-26-0353</t>
  </si>
  <si>
    <t>Toilet Hire and Servicing</t>
  </si>
  <si>
    <t>STATUS</t>
  </si>
  <si>
    <t>Amount Due</t>
  </si>
  <si>
    <t>Date: 26 March 2026</t>
  </si>
  <si>
    <t>Current</t>
  </si>
  <si>
    <t>30 Days</t>
  </si>
  <si>
    <t>60 Days</t>
  </si>
  <si>
    <t>90+ Days</t>
  </si>
  <si>
    <t>STP-INV-26-0331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</si>
</sst>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[$-1C09]dd/mmmm/yyyy;@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0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 tint="-0.499984740745262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Arial"/>
      <family val="2"/>
    </font>
    <font>
      <i/>
      <sz val="9"/>
      <name val="Aptos"/>
      <family val="2"/>
    </font>
    <font>
      <sz val="9"/>
      <name val="Aptos"/>
      <family val="2"/>
    </font>
    <font>
      <b/>
      <i/>
      <sz val="12"/>
      <color theme="1" tint="0.249977111117893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</fills>
  <borders count="8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2" borderId="0" xfId="0" applyFill="1"/>
    <xf numFmtId="44" fontId="0" fillId="0" borderId="0" xfId="0" applyNumberFormat="1"/>
    <xf numFmtId="0" fontId="12" fillId="0" borderId="0" xfId="0" applyFont="1"/>
    <xf numFmtId="44" fontId="7" fillId="0" borderId="0" xfId="1" applyFont="1" applyFill="1" applyBorder="1" applyAlignment="1">
      <alignment horizontal="right" vertical="center"/>
    </xf>
    <xf numFmtId="44" fontId="6" fillId="0" borderId="0" xfId="1" applyFont="1" applyFill="1" applyBorder="1" applyAlignment="1">
      <alignment horizontal="right" vertical="center"/>
    </xf>
    <xf numFmtId="1" fontId="7" fillId="0" borderId="0" xfId="1" applyNumberFormat="1" applyFont="1" applyFill="1" applyBorder="1" applyAlignment="1">
      <alignment horizontal="center" vertical="center"/>
    </xf>
    <xf numFmtId="44" fontId="16" fillId="0" borderId="0" xfId="1" applyFont="1" applyFill="1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vertical="top"/>
    </xf>
    <xf numFmtId="165" fontId="23" fillId="0" borderId="0" xfId="0" applyNumberFormat="1" applyFont="1"/>
    <xf numFmtId="0" fontId="23" fillId="0" borderId="0" xfId="0" applyFont="1"/>
    <xf numFmtId="165" fontId="22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1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15" fillId="0" borderId="0" xfId="0" applyFont="1"/>
    <xf numFmtId="0" fontId="12" fillId="0" borderId="0" xfId="0" quotePrefix="1" applyFont="1"/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16" fillId="0" borderId="0" xfId="0" applyFont="1"/>
    <xf numFmtId="1" fontId="16" fillId="0" borderId="0" xfId="0" applyNumberFormat="1" applyFont="1"/>
    <xf numFmtId="44" fontId="16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44" fontId="19" fillId="0" borderId="0" xfId="0" applyNumberFormat="1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165" fontId="21" fillId="0" borderId="2" xfId="0" applyNumberFormat="1" applyFont="1" applyBorder="1" applyAlignment="1">
      <alignment horizontal="left"/>
    </xf>
    <xf numFmtId="0" fontId="24" fillId="0" borderId="2" xfId="0" applyFont="1" applyBorder="1" applyAlignment="1">
      <alignment vertical="center"/>
    </xf>
    <xf numFmtId="44" fontId="17" fillId="0" borderId="2" xfId="1" applyFont="1" applyBorder="1" applyAlignment="1">
      <alignment horizontal="right" vertical="center"/>
    </xf>
    <xf numFmtId="44" fontId="17" fillId="0" borderId="2" xfId="0" applyNumberFormat="1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right" vertical="center"/>
    </xf>
    <xf numFmtId="0" fontId="22" fillId="0" borderId="4" xfId="0" applyFont="1" applyBorder="1" applyAlignment="1">
      <alignment vertical="top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vertical="top"/>
    </xf>
    <xf numFmtId="0" fontId="25" fillId="0" borderId="6" xfId="0" applyFont="1" applyBorder="1"/>
    <xf numFmtId="0" fontId="26" fillId="0" borderId="7" xfId="0" applyFont="1" applyBorder="1" applyAlignment="1">
      <alignment horizontal="right" vertical="center"/>
    </xf>
    <xf numFmtId="44" fontId="17" fillId="0" borderId="2" xfId="1" applyFont="1" applyBorder="1" applyAlignment="1">
      <alignment vertical="center"/>
    </xf>
    <xf numFmtId="8" fontId="31" fillId="0" borderId="5" xfId="0" applyNumberFormat="1" applyFont="1" applyBorder="1" applyAlignment="1">
      <alignment horizontal="center" vertical="center"/>
    </xf>
    <xf numFmtId="44" fontId="31" fillId="0" borderId="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44" fontId="29" fillId="0" borderId="4" xfId="1" applyFont="1" applyFill="1" applyBorder="1" applyAlignment="1">
      <alignment horizontal="right" vertical="center"/>
    </xf>
    <xf numFmtId="44" fontId="29" fillId="0" borderId="5" xfId="1" applyFont="1" applyFill="1" applyBorder="1" applyAlignment="1">
      <alignment horizontal="right" vertical="center"/>
    </xf>
    <xf numFmtId="44" fontId="29" fillId="0" borderId="4" xfId="1" applyFont="1" applyFill="1" applyBorder="1" applyAlignment="1">
      <alignment horizontal="center" vertical="center"/>
    </xf>
    <xf numFmtId="44" fontId="29" fillId="0" borderId="5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I39"/>
  <sheetViews>
    <sheetView view="pageBreakPreview" topLeftCell="A10" zoomScaleNormal="100" zoomScaleSheetLayoutView="100" workbookViewId="0">
      <selection activeCell="K35" sqref="K35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3" bestFit="1" customWidth="1"/>
    <col min="6" max="6" width="13.88671875" bestFit="1" customWidth="1"/>
    <col min="7" max="7" width="14.21875" bestFit="1" customWidth="1"/>
    <col min="8" max="8" width="15.88671875" bestFit="1" customWidth="1"/>
    <col min="9" max="9" width="7.44140625" bestFit="1" customWidth="1"/>
    <col min="10" max="12" width="10.6640625" customWidth="1"/>
  </cols>
  <sheetData>
    <row r="1" spans="1:9" ht="22.8" x14ac:dyDescent="0.3">
      <c r="A1" s="71" t="s">
        <v>11</v>
      </c>
      <c r="B1" s="71"/>
      <c r="C1" s="71"/>
      <c r="D1" s="71"/>
      <c r="E1" s="71"/>
      <c r="F1" s="71"/>
      <c r="G1" s="71"/>
      <c r="H1" s="71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67" t="s">
        <v>0</v>
      </c>
      <c r="B3" s="67"/>
      <c r="C3" s="67"/>
      <c r="D3" s="67"/>
      <c r="E3" s="12"/>
      <c r="F3" s="12"/>
      <c r="G3" s="72" t="s">
        <v>10</v>
      </c>
      <c r="H3" s="72"/>
    </row>
    <row r="4" spans="1:9" x14ac:dyDescent="0.3">
      <c r="A4" s="67" t="s">
        <v>2</v>
      </c>
      <c r="B4" s="67"/>
      <c r="C4" s="67"/>
      <c r="D4" s="67"/>
      <c r="E4" s="12"/>
      <c r="F4" s="12"/>
      <c r="G4" s="68" t="s">
        <v>4</v>
      </c>
      <c r="H4" s="68"/>
    </row>
    <row r="5" spans="1:9" x14ac:dyDescent="0.3">
      <c r="A5" s="67" t="s">
        <v>9</v>
      </c>
      <c r="B5" s="67"/>
      <c r="C5" s="67"/>
      <c r="D5" s="67"/>
      <c r="E5" s="12"/>
      <c r="F5" s="12"/>
      <c r="G5" s="68" t="s">
        <v>5</v>
      </c>
      <c r="H5" s="68"/>
    </row>
    <row r="6" spans="1:9" x14ac:dyDescent="0.3">
      <c r="A6" s="67" t="s">
        <v>1</v>
      </c>
      <c r="B6" s="67"/>
      <c r="C6" s="67"/>
      <c r="D6" s="67"/>
      <c r="E6" s="12"/>
      <c r="F6" s="12"/>
      <c r="G6" s="68" t="s">
        <v>6</v>
      </c>
      <c r="H6" s="68"/>
    </row>
    <row r="7" spans="1:9" x14ac:dyDescent="0.3">
      <c r="A7" s="67" t="s">
        <v>3</v>
      </c>
      <c r="B7" s="67"/>
      <c r="C7" s="67"/>
      <c r="D7" s="67"/>
      <c r="E7" s="12"/>
      <c r="F7" s="12"/>
      <c r="G7" s="69" t="s">
        <v>7</v>
      </c>
      <c r="H7" s="69"/>
    </row>
    <row r="8" spans="1:9" x14ac:dyDescent="0.3">
      <c r="A8" s="68"/>
      <c r="B8" s="68"/>
      <c r="C8" s="68"/>
      <c r="D8" s="68"/>
      <c r="E8" s="12"/>
      <c r="F8" s="12"/>
      <c r="G8" s="70"/>
      <c r="H8" s="70"/>
    </row>
    <row r="9" spans="1:9" x14ac:dyDescent="0.3">
      <c r="A9" s="13"/>
      <c r="B9" s="3"/>
      <c r="C9" s="1"/>
      <c r="D9" s="1"/>
      <c r="E9" s="1"/>
      <c r="F9" s="1"/>
      <c r="G9" s="62" t="s">
        <v>23</v>
      </c>
      <c r="H9" s="62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7" t="s">
        <v>8</v>
      </c>
      <c r="B11" s="51" t="s">
        <v>12</v>
      </c>
      <c r="C11" s="51" t="s">
        <v>13</v>
      </c>
      <c r="D11" s="51" t="s">
        <v>14</v>
      </c>
      <c r="E11" s="51" t="s">
        <v>15</v>
      </c>
      <c r="F11" s="52" t="s">
        <v>16</v>
      </c>
      <c r="G11" s="52" t="s">
        <v>17</v>
      </c>
      <c r="H11" s="58" t="s">
        <v>18</v>
      </c>
      <c r="I11" s="14" t="s">
        <v>21</v>
      </c>
    </row>
    <row r="12" spans="1:9" x14ac:dyDescent="0.3">
      <c r="A12" s="47">
        <v>46107</v>
      </c>
      <c r="B12" s="48" t="s">
        <v>19</v>
      </c>
      <c r="C12" s="48" t="s">
        <v>20</v>
      </c>
      <c r="D12" s="59">
        <v>490054</v>
      </c>
      <c r="E12" s="49">
        <f>IF(D12="","R 0.00",D12*15%)</f>
        <v>73508.099999999991</v>
      </c>
      <c r="F12" s="50">
        <f>D12+E12</f>
        <v>563562.1</v>
      </c>
      <c r="G12" s="50">
        <f>F12</f>
        <v>563562.1</v>
      </c>
      <c r="H12" s="49"/>
      <c r="I12" s="20" t="b">
        <v>0</v>
      </c>
    </row>
    <row r="13" spans="1:9" x14ac:dyDescent="0.3">
      <c r="A13" s="21"/>
      <c r="B13" s="22"/>
      <c r="C13" s="22"/>
      <c r="D13" s="22"/>
      <c r="E13" s="23"/>
      <c r="F13" s="23"/>
      <c r="G13" s="23"/>
      <c r="H13" s="24"/>
    </row>
    <row r="14" spans="1:9" x14ac:dyDescent="0.3">
      <c r="A14" s="21"/>
      <c r="B14" s="22"/>
      <c r="C14" s="22"/>
      <c r="D14" s="22"/>
      <c r="E14" s="23"/>
      <c r="F14" s="23"/>
      <c r="G14" s="23"/>
      <c r="H14" s="24"/>
    </row>
    <row r="15" spans="1:9" x14ac:dyDescent="0.3">
      <c r="A15" s="25"/>
      <c r="B15" s="6"/>
      <c r="C15" s="6"/>
      <c r="D15" s="6"/>
      <c r="E15" s="12"/>
      <c r="F15" s="12"/>
      <c r="G15" s="12"/>
      <c r="H15" s="26"/>
    </row>
    <row r="16" spans="1:9" x14ac:dyDescent="0.3">
      <c r="A16" s="27"/>
      <c r="B16" s="28"/>
      <c r="C16" s="29"/>
      <c r="D16" s="29"/>
      <c r="E16" s="7"/>
      <c r="F16" s="29"/>
      <c r="G16" s="7"/>
      <c r="H16" s="8"/>
      <c r="I16" s="2"/>
    </row>
    <row r="17" spans="1:9" x14ac:dyDescent="0.3">
      <c r="A17" s="27"/>
      <c r="B17" s="28"/>
      <c r="C17" s="29"/>
      <c r="D17" s="29"/>
      <c r="E17" s="7"/>
      <c r="F17" s="29"/>
      <c r="G17" s="7"/>
      <c r="H17" s="8"/>
    </row>
    <row r="18" spans="1:9" x14ac:dyDescent="0.3">
      <c r="A18" s="27"/>
      <c r="B18" s="28"/>
      <c r="C18" s="29"/>
      <c r="D18" s="29"/>
      <c r="E18" s="7"/>
      <c r="F18" s="29"/>
      <c r="G18" s="7"/>
      <c r="H18" s="8"/>
    </row>
    <row r="19" spans="1:9" x14ac:dyDescent="0.3">
      <c r="A19" s="27"/>
      <c r="B19" s="28"/>
      <c r="C19" s="29"/>
      <c r="D19" s="29"/>
      <c r="E19" s="30"/>
      <c r="F19" s="9"/>
      <c r="G19" s="30"/>
      <c r="H19" s="8"/>
    </row>
    <row r="20" spans="1:9" x14ac:dyDescent="0.3">
      <c r="A20" s="27"/>
      <c r="B20" s="28"/>
      <c r="C20" s="29"/>
      <c r="D20" s="29"/>
      <c r="E20" s="30"/>
      <c r="F20" s="29"/>
      <c r="G20" s="30"/>
      <c r="H20" s="31"/>
    </row>
    <row r="21" spans="1:9" x14ac:dyDescent="0.3">
      <c r="A21" s="32"/>
      <c r="B21" s="33"/>
      <c r="C21" s="33"/>
      <c r="D21" s="33"/>
      <c r="E21" s="34"/>
      <c r="F21" s="34"/>
      <c r="G21" s="35"/>
      <c r="H21" s="6"/>
    </row>
    <row r="22" spans="1:9" x14ac:dyDescent="0.3">
      <c r="A22" s="32"/>
      <c r="B22" s="36"/>
      <c r="C22" s="37"/>
      <c r="D22" s="36"/>
      <c r="E22" s="10"/>
      <c r="F22" s="36"/>
      <c r="G22" s="10"/>
      <c r="H22" s="38"/>
      <c r="I22" s="5"/>
    </row>
    <row r="23" spans="1:9" x14ac:dyDescent="0.3">
      <c r="A23" s="32"/>
      <c r="B23" s="33"/>
      <c r="C23" s="33"/>
      <c r="D23" s="33"/>
      <c r="E23" s="6"/>
      <c r="F23" s="6"/>
      <c r="G23" s="34"/>
      <c r="H23" s="38"/>
    </row>
    <row r="24" spans="1:9" ht="15.6" x14ac:dyDescent="0.3">
      <c r="A24" s="39"/>
      <c r="B24" s="39"/>
      <c r="C24" s="39"/>
      <c r="D24" s="40"/>
      <c r="E24" s="41"/>
      <c r="F24" s="41"/>
      <c r="G24" s="41"/>
      <c r="H24" s="42"/>
    </row>
    <row r="25" spans="1:9" x14ac:dyDescent="0.3">
      <c r="A25" s="43"/>
      <c r="B25" s="44"/>
      <c r="C25" s="44"/>
      <c r="D25" s="45"/>
      <c r="E25" s="45"/>
      <c r="F25" s="45"/>
      <c r="G25" s="45"/>
      <c r="H25" s="6"/>
    </row>
    <row r="26" spans="1:9" x14ac:dyDescent="0.3">
      <c r="A26" s="43"/>
      <c r="B26" s="44"/>
      <c r="C26" s="44"/>
      <c r="D26" s="39"/>
      <c r="E26" s="39"/>
      <c r="F26" s="39"/>
      <c r="G26" s="39"/>
      <c r="H26" s="39"/>
    </row>
    <row r="27" spans="1:9" x14ac:dyDescent="0.3">
      <c r="A27" s="44"/>
      <c r="B27" s="44"/>
      <c r="C27" s="44"/>
      <c r="D27" s="6"/>
      <c r="E27" s="15"/>
      <c r="F27" s="15"/>
      <c r="G27" s="15"/>
      <c r="H27" s="15"/>
    </row>
    <row r="28" spans="1:9" x14ac:dyDescent="0.3">
      <c r="A28" s="44"/>
      <c r="B28" s="44"/>
      <c r="C28" s="44"/>
      <c r="D28" s="6"/>
      <c r="E28" s="15"/>
      <c r="F28" s="15"/>
      <c r="G28" s="15"/>
      <c r="H28" s="15"/>
    </row>
    <row r="29" spans="1:9" x14ac:dyDescent="0.3">
      <c r="A29" s="44"/>
      <c r="B29" s="44"/>
      <c r="C29" s="44"/>
      <c r="D29" s="6"/>
      <c r="E29" s="16"/>
      <c r="F29" s="16"/>
      <c r="G29" s="16"/>
      <c r="H29" s="16"/>
    </row>
    <row r="30" spans="1:9" x14ac:dyDescent="0.3">
      <c r="A30" s="44"/>
      <c r="B30" s="44"/>
      <c r="C30" s="44"/>
      <c r="D30" s="6"/>
      <c r="E30" s="15"/>
      <c r="F30" s="15"/>
      <c r="G30" s="15"/>
      <c r="H30" s="15"/>
    </row>
    <row r="31" spans="1:9" ht="15" thickBot="1" x14ac:dyDescent="0.35">
      <c r="A31" s="46"/>
      <c r="B31" s="46"/>
      <c r="C31" s="46"/>
      <c r="D31" s="6"/>
      <c r="E31" s="15"/>
      <c r="F31" s="15"/>
      <c r="G31" s="15"/>
      <c r="H31" s="15"/>
    </row>
    <row r="32" spans="1:9" ht="18.600000000000001" customHeight="1" x14ac:dyDescent="0.3">
      <c r="A32" s="53"/>
      <c r="B32" s="54" t="s">
        <v>27</v>
      </c>
      <c r="C32" s="54" t="s">
        <v>26</v>
      </c>
      <c r="D32" s="55" t="s">
        <v>25</v>
      </c>
      <c r="E32" s="54" t="s">
        <v>24</v>
      </c>
      <c r="F32" s="63" t="s">
        <v>22</v>
      </c>
      <c r="G32" s="63"/>
      <c r="H32" s="65">
        <f>SUM(G12:G29)-SUM(H12:H29)</f>
        <v>563562.1</v>
      </c>
    </row>
    <row r="33" spans="1:8" ht="31.8" customHeight="1" thickBot="1" x14ac:dyDescent="0.35">
      <c r="A33" s="56"/>
      <c r="B33" s="60">
        <v>0</v>
      </c>
      <c r="C33" s="60">
        <v>0</v>
      </c>
      <c r="D33" s="60">
        <v>0</v>
      </c>
      <c r="E33" s="61">
        <f>H32</f>
        <v>563562.1</v>
      </c>
      <c r="F33" s="64"/>
      <c r="G33" s="64"/>
      <c r="H33" s="66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6">
    <mergeCell ref="F32:G33"/>
    <mergeCell ref="G8:H8"/>
    <mergeCell ref="G9:H9"/>
    <mergeCell ref="A1:H1"/>
    <mergeCell ref="G3:H3"/>
    <mergeCell ref="G4:H4"/>
    <mergeCell ref="G5:H5"/>
    <mergeCell ref="G6:H6"/>
    <mergeCell ref="G7:H7"/>
    <mergeCell ref="A3:D3"/>
    <mergeCell ref="A4:D4"/>
    <mergeCell ref="A5:D5"/>
    <mergeCell ref="A6:D6"/>
    <mergeCell ref="A7:D7"/>
    <mergeCell ref="A8:D8"/>
    <mergeCell ref="H32:H33"/>
  </mergeCells>
  <phoneticPr fontId="5" type="noConversion"/>
  <dataValidations disablePrompts="1" count="1">
    <dataValidation type="whole" operator="greaterThanOrEqual" showErrorMessage="1" errorTitle="Invalid" error="Enter a whole number ≥ 0" sqref="C16:C20 F16:F20" xr:uid="{C6D762D9-E729-416C-B9B8-C414A1A3C1A1}">
      <formula1>0</formula1>
      <formula2>0</formula2>
    </dataValidation>
  </dataValidations>
  <pageMargins left="0.7" right="0.7" top="1.542" bottom="0.75" header="0.3" footer="0.3"/>
  <pageSetup paperSize="9" scale="70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DC5-FE34-4309-9329-387E00597720}">
  <sheetPr>
    <pageSetUpPr fitToPage="1"/>
  </sheetPr>
  <dimension ref="A1:I39"/>
  <sheetViews>
    <sheetView tabSelected="1" view="pageBreakPreview" zoomScaleNormal="100" zoomScaleSheetLayoutView="100" workbookViewId="0">
      <selection activeCell="J18" sqref="J18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3" bestFit="1" customWidth="1"/>
    <col min="6" max="6" width="13.88671875" bestFit="1" customWidth="1"/>
    <col min="7" max="7" width="14.21875" bestFit="1" customWidth="1"/>
    <col min="8" max="8" width="15.88671875" bestFit="1" customWidth="1"/>
    <col min="9" max="9" width="7.44140625" bestFit="1" customWidth="1"/>
    <col min="10" max="12" width="10.6640625" customWidth="1"/>
  </cols>
  <sheetData>
    <row r="1" spans="1:9" ht="22.8" x14ac:dyDescent="0.3">
      <c r="A1" s="71" t="s">
        <v>11</v>
      </c>
      <c r="B1" s="71"/>
      <c r="C1" s="71"/>
      <c r="D1" s="71"/>
      <c r="E1" s="71"/>
      <c r="F1" s="71"/>
      <c r="G1" s="71"/>
      <c r="H1" s="71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67" t="s">
        <v>0</v>
      </c>
      <c r="B3" s="67"/>
      <c r="C3" s="67"/>
      <c r="D3" s="67"/>
      <c r="E3" s="12"/>
      <c r="F3" s="12"/>
      <c r="G3" s="72" t="s">
        <v>10</v>
      </c>
      <c r="H3" s="72"/>
    </row>
    <row r="4" spans="1:9" x14ac:dyDescent="0.3">
      <c r="A4" s="67" t="s">
        <v>2</v>
      </c>
      <c r="B4" s="67"/>
      <c r="C4" s="67"/>
      <c r="D4" s="67"/>
      <c r="E4" s="12"/>
      <c r="F4" s="12"/>
      <c r="G4" s="68" t="s">
        <v>4</v>
      </c>
      <c r="H4" s="68"/>
    </row>
    <row r="5" spans="1:9" x14ac:dyDescent="0.3">
      <c r="A5" s="67" t="s">
        <v>9</v>
      </c>
      <c r="B5" s="67"/>
      <c r="C5" s="67"/>
      <c r="D5" s="67"/>
      <c r="E5" s="12"/>
      <c r="F5" s="12"/>
      <c r="G5" s="68" t="s">
        <v>5</v>
      </c>
      <c r="H5" s="68"/>
    </row>
    <row r="6" spans="1:9" x14ac:dyDescent="0.3">
      <c r="A6" s="67" t="s">
        <v>1</v>
      </c>
      <c r="B6" s="67"/>
      <c r="C6" s="67"/>
      <c r="D6" s="67"/>
      <c r="E6" s="12"/>
      <c r="F6" s="12"/>
      <c r="G6" s="68" t="s">
        <v>6</v>
      </c>
      <c r="H6" s="68"/>
    </row>
    <row r="7" spans="1:9" x14ac:dyDescent="0.3">
      <c r="A7" s="67" t="s">
        <v>3</v>
      </c>
      <c r="B7" s="67"/>
      <c r="C7" s="67"/>
      <c r="D7" s="67"/>
      <c r="E7" s="12"/>
      <c r="F7" s="12"/>
      <c r="G7" s="69" t="s">
        <v>7</v>
      </c>
      <c r="H7" s="69"/>
    </row>
    <row r="8" spans="1:9" x14ac:dyDescent="0.3">
      <c r="A8" s="68"/>
      <c r="B8" s="68"/>
      <c r="C8" s="68"/>
      <c r="D8" s="68"/>
      <c r="E8" s="12"/>
      <c r="F8" s="12"/>
      <c r="G8" s="70"/>
      <c r="H8" s="70"/>
    </row>
    <row r="9" spans="1:9" x14ac:dyDescent="0.3">
      <c r="A9" s="13"/>
      <c r="B9" s="3"/>
      <c r="C9" s="1"/>
      <c r="D9" s="1"/>
      <c r="E9" s="1"/>
      <c r="F9" s="1"/>
      <c r="G9" s="62" t="s">
        <v>23</v>
      </c>
      <c r="H9" s="62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7" t="s">
        <v>8</v>
      </c>
      <c r="B11" s="51" t="s">
        <v>12</v>
      </c>
      <c r="C11" s="51" t="s">
        <v>13</v>
      </c>
      <c r="D11" s="51" t="s">
        <v>14</v>
      </c>
      <c r="E11" s="51" t="s">
        <v>15</v>
      </c>
      <c r="F11" s="52" t="s">
        <v>16</v>
      </c>
      <c r="G11" s="52" t="s">
        <v>17</v>
      </c>
      <c r="H11" s="58" t="s">
        <v>18</v>
      </c>
      <c r="I11" s="14" t="s">
        <v>21</v>
      </c>
    </row>
    <row r="12" spans="1:9" x14ac:dyDescent="0.3">
      <c r="A12" s="47">
        <v>46107</v>
      </c>
      <c r="B12" s="48" t="s">
        <v>28</v>
      </c>
      <c r="C12" s="48" t="s">
        <v>20</v>
      </c>
      <c r="D12" s="59">
        <v>26893.5</v>
      </c>
      <c r="E12" s="49">
        <f>IF(D12="","R 0.00",D12*15%)</f>
        <v>4034.0249999999996</v>
      </c>
      <c r="F12" s="50">
        <f>D12+E12</f>
        <v>30927.525000000001</v>
      </c>
      <c r="G12" s="50">
        <f>F12</f>
        <v>30927.525000000001</v>
      </c>
      <c r="H12" s="49"/>
      <c r="I12" s="20" t="b">
        <v>0</v>
      </c>
    </row>
    <row r="13" spans="1:9" x14ac:dyDescent="0.3">
      <c r="A13" s="21"/>
      <c r="B13" s="22"/>
      <c r="C13" s="22"/>
      <c r="D13" s="22"/>
      <c r="E13" s="23"/>
      <c r="F13" s="23"/>
      <c r="G13" s="23"/>
      <c r="H13" s="24"/>
    </row>
    <row r="14" spans="1:9" x14ac:dyDescent="0.3">
      <c r="A14" s="21"/>
      <c r="B14" s="22"/>
      <c r="C14" s="22"/>
      <c r="D14" s="22"/>
      <c r="E14" s="23"/>
      <c r="F14" s="23"/>
      <c r="G14" s="23"/>
      <c r="H14" s="24"/>
    </row>
    <row r="15" spans="1:9" x14ac:dyDescent="0.3">
      <c r="A15" s="25"/>
      <c r="B15" s="6"/>
      <c r="C15" s="6"/>
      <c r="D15" s="6"/>
      <c r="E15" s="12"/>
      <c r="F15" s="12"/>
      <c r="G15" s="12"/>
      <c r="H15" s="26"/>
    </row>
    <row r="16" spans="1:9" x14ac:dyDescent="0.3">
      <c r="A16" s="27"/>
      <c r="B16" s="28"/>
      <c r="C16" s="29"/>
      <c r="D16" s="29"/>
      <c r="E16" s="7"/>
      <c r="F16" s="29"/>
      <c r="G16" s="7"/>
      <c r="H16" s="8"/>
      <c r="I16" s="2"/>
    </row>
    <row r="17" spans="1:9" x14ac:dyDescent="0.3">
      <c r="A17" s="27"/>
      <c r="B17" s="28"/>
      <c r="C17" s="29"/>
      <c r="D17" s="29"/>
      <c r="E17" s="7"/>
      <c r="F17" s="29"/>
      <c r="G17" s="7"/>
      <c r="H17" s="8"/>
    </row>
    <row r="18" spans="1:9" x14ac:dyDescent="0.3">
      <c r="A18" s="27"/>
      <c r="B18" s="28"/>
      <c r="C18" s="29"/>
      <c r="D18" s="29"/>
      <c r="E18" s="7"/>
      <c r="F18" s="29"/>
      <c r="G18" s="7"/>
      <c r="H18" s="8"/>
    </row>
    <row r="19" spans="1:9" x14ac:dyDescent="0.3">
      <c r="A19" s="27"/>
      <c r="B19" s="28"/>
      <c r="C19" s="29"/>
      <c r="D19" s="29"/>
      <c r="E19" s="30"/>
      <c r="F19" s="9"/>
      <c r="G19" s="30"/>
      <c r="H19" s="8"/>
    </row>
    <row r="20" spans="1:9" x14ac:dyDescent="0.3">
      <c r="A20" s="27"/>
      <c r="B20" s="28"/>
      <c r="C20" s="29"/>
      <c r="D20" s="29"/>
      <c r="E20" s="30"/>
      <c r="F20" s="29"/>
      <c r="G20" s="30"/>
      <c r="H20" s="31"/>
    </row>
    <row r="21" spans="1:9" x14ac:dyDescent="0.3">
      <c r="A21" s="32"/>
      <c r="B21" s="33"/>
      <c r="C21" s="33"/>
      <c r="D21" s="33"/>
      <c r="E21" s="34"/>
      <c r="F21" s="34"/>
      <c r="G21" s="35"/>
      <c r="H21" s="6"/>
    </row>
    <row r="22" spans="1:9" x14ac:dyDescent="0.3">
      <c r="A22" s="32"/>
      <c r="B22" s="36"/>
      <c r="C22" s="37"/>
      <c r="D22" s="36"/>
      <c r="E22" s="10"/>
      <c r="F22" s="36"/>
      <c r="G22" s="10"/>
      <c r="H22" s="38"/>
      <c r="I22" s="5"/>
    </row>
    <row r="23" spans="1:9" x14ac:dyDescent="0.3">
      <c r="A23" s="32"/>
      <c r="B23" s="33"/>
      <c r="C23" s="33"/>
      <c r="D23" s="33"/>
      <c r="E23" s="6"/>
      <c r="F23" s="6"/>
      <c r="G23" s="34"/>
      <c r="H23" s="38"/>
    </row>
    <row r="24" spans="1:9" ht="15.6" x14ac:dyDescent="0.3">
      <c r="A24" s="39"/>
      <c r="B24" s="39"/>
      <c r="C24" s="39"/>
      <c r="D24" s="40"/>
      <c r="E24" s="41"/>
      <c r="F24" s="41"/>
      <c r="G24" s="41"/>
      <c r="H24" s="42"/>
    </row>
    <row r="25" spans="1:9" x14ac:dyDescent="0.3">
      <c r="A25" s="43"/>
      <c r="B25" s="44"/>
      <c r="C25" s="44"/>
      <c r="D25" s="45"/>
      <c r="E25" s="45"/>
      <c r="F25" s="45"/>
      <c r="G25" s="45"/>
      <c r="H25" s="6"/>
    </row>
    <row r="26" spans="1:9" x14ac:dyDescent="0.3">
      <c r="A26" s="43"/>
      <c r="B26" s="44"/>
      <c r="C26" s="44"/>
      <c r="D26" s="39"/>
      <c r="E26" s="39"/>
      <c r="F26" s="39"/>
      <c r="G26" s="39"/>
      <c r="H26" s="39"/>
    </row>
    <row r="27" spans="1:9" x14ac:dyDescent="0.3">
      <c r="A27" s="44"/>
      <c r="B27" s="44"/>
      <c r="C27" s="44"/>
      <c r="D27" s="6"/>
      <c r="E27" s="15"/>
      <c r="F27" s="15"/>
      <c r="G27" s="15"/>
      <c r="H27" s="15"/>
    </row>
    <row r="28" spans="1:9" x14ac:dyDescent="0.3">
      <c r="A28" s="44"/>
      <c r="B28" s="44"/>
      <c r="C28" s="44"/>
      <c r="D28" s="6"/>
      <c r="E28" s="15"/>
      <c r="F28" s="15"/>
      <c r="G28" s="15"/>
      <c r="H28" s="15"/>
    </row>
    <row r="29" spans="1:9" x14ac:dyDescent="0.3">
      <c r="A29" s="44"/>
      <c r="B29" s="44"/>
      <c r="C29" s="44"/>
      <c r="D29" s="6"/>
      <c r="E29" s="16"/>
      <c r="F29" s="16"/>
      <c r="G29" s="16"/>
      <c r="H29" s="16"/>
    </row>
    <row r="30" spans="1:9" x14ac:dyDescent="0.3">
      <c r="A30" s="44"/>
      <c r="B30" s="44"/>
      <c r="C30" s="44"/>
      <c r="D30" s="6"/>
      <c r="E30" s="15"/>
      <c r="F30" s="15"/>
      <c r="G30" s="15"/>
      <c r="H30" s="15"/>
    </row>
    <row r="31" spans="1:9" ht="15" thickBot="1" x14ac:dyDescent="0.35">
      <c r="A31" s="46"/>
      <c r="B31" s="46"/>
      <c r="C31" s="46"/>
      <c r="D31" s="6"/>
      <c r="E31" s="15"/>
      <c r="F31" s="15"/>
      <c r="G31" s="15"/>
      <c r="H31" s="15"/>
    </row>
    <row r="32" spans="1:9" ht="18.600000000000001" customHeight="1" x14ac:dyDescent="0.3">
      <c r="A32" s="53"/>
      <c r="B32" s="54" t="s">
        <v>27</v>
      </c>
      <c r="C32" s="54" t="s">
        <v>26</v>
      </c>
      <c r="D32" s="55" t="s">
        <v>25</v>
      </c>
      <c r="E32" s="54" t="s">
        <v>24</v>
      </c>
      <c r="F32" s="63" t="s">
        <v>22</v>
      </c>
      <c r="G32" s="63"/>
      <c r="H32" s="65">
        <f>SUM(G12:G29)-SUM(H12:H29)</f>
        <v>30927.525000000001</v>
      </c>
    </row>
    <row r="33" spans="1:8" ht="31.8" customHeight="1" thickBot="1" x14ac:dyDescent="0.35">
      <c r="A33" s="56"/>
      <c r="B33" s="60">
        <v>0</v>
      </c>
      <c r="C33" s="60">
        <v>0</v>
      </c>
      <c r="D33" s="60">
        <v>0</v>
      </c>
      <c r="E33" s="61">
        <f>H32</f>
        <v>30927.525000000001</v>
      </c>
      <c r="F33" s="64"/>
      <c r="G33" s="64"/>
      <c r="H33" s="66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6">
    <mergeCell ref="A5:D5"/>
    <mergeCell ref="G5:H5"/>
    <mergeCell ref="A1:H1"/>
    <mergeCell ref="A3:D3"/>
    <mergeCell ref="G3:H3"/>
    <mergeCell ref="A4:D4"/>
    <mergeCell ref="G4:H4"/>
    <mergeCell ref="G9:H9"/>
    <mergeCell ref="F32:G33"/>
    <mergeCell ref="H32:H33"/>
    <mergeCell ref="A6:D6"/>
    <mergeCell ref="G6:H6"/>
    <mergeCell ref="A7:D7"/>
    <mergeCell ref="G7:H7"/>
    <mergeCell ref="A8:D8"/>
    <mergeCell ref="G8:H8"/>
  </mergeCells>
  <dataValidations count="1">
    <dataValidation type="whole" operator="greaterThanOrEqual" showErrorMessage="1" errorTitle="Invalid" error="Enter a whole number ≥ 0" sqref="C16:C20 F16:F20" xr:uid="{970BB2AA-B995-4353-814E-B4F62280806B}">
      <formula1>0</formula1>
      <formula2>0</formula2>
    </dataValidation>
  </dataValidations>
  <pageMargins left="0.7" right="0.7" top="1.542" bottom="0.75" header="0.3" footer="0.3"/>
  <pageSetup paperSize="9" scale="70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3e1fb217-3513-4a84-b39a-87d8fab7c42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— Region 2</vt:lpstr>
      <vt:lpstr>Invoice — Region 5</vt:lpstr>
      <vt:lpstr>'Invoice — Region 2'!Print_Area</vt:lpstr>
      <vt:lpstr>'Invoice — Region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2026-04-15T09:42:38Z</cp:lastPrinted>
  <dcterms:created xsi:type="dcterms:W3CDTF">2015-06-05T18:17:20Z</dcterms:created>
  <dcterms:modified xsi:type="dcterms:W3CDTF">2026-04-24T08:54:54Z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