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7 July/03 - HS 02 2025-26/07 Adhoc Toilets/"/>
    </mc:Choice>
  </mc:AlternateContent>
  <xr:revisionPtr revIDLastSave="238" documentId="11_D7369C5A089D41036A6BCA5CAE287AE4DE12559C" xr6:coauthVersionLast="47" xr6:coauthVersionMax="47" xr10:uidLastSave="{B2A86C32-0796-4FCD-8465-F0391356E5C5}"/>
  <bookViews>
    <workbookView xWindow="-120" yWindow="-120" windowWidth="29040" windowHeight="15720" tabRatio="500" xr2:uid="{00000000-000D-0000-FFFF-FFFF00000000}"/>
  </bookViews>
  <sheets>
    <sheet name="Quote" sheetId="1" r:id="rId1"/>
  </sheets>
  <definedNames>
    <definedName name="_xlnm.Print_Area" localSheetId="0">Quote!$A$1:$G$47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" i="1" l="1"/>
  <c r="F22" i="1"/>
  <c r="E27" i="1" s="1"/>
  <c r="E28" i="1" l="1"/>
  <c r="F24" i="1"/>
  <c r="E29" i="1"/>
  <c r="G29" i="1" s="1"/>
  <c r="G27" i="1"/>
  <c r="G28" i="1"/>
  <c r="G31" i="1" l="1"/>
  <c r="G32" i="1" l="1"/>
  <c r="G33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<sst xmlns="http://schemas.openxmlformats.org/spreadsheetml/2006/main" count="54" uniqueCount="53">
  <si>
    <t>QUOTATION</t>
  </si>
  <si>
    <t>Reg No: 2013/029173/07   |   Tel: 012 880 3155   |   Cell: 073 124 1535</t>
  </si>
  <si>
    <t>QUOTE TO</t>
  </si>
  <si>
    <t>QUOTE DETAILS</t>
  </si>
  <si>
    <t>City of Tshwane</t>
  </si>
  <si>
    <t>Quote No:</t>
  </si>
  <si>
    <t>Human Settlements Department</t>
  </si>
  <si>
    <t>Reference:</t>
  </si>
  <si>
    <t>Attention: Ms. Nthabiseng Malada</t>
  </si>
  <si>
    <t>Date:</t>
  </si>
  <si>
    <t>2026-07-23</t>
  </si>
  <si>
    <t>Tel: 012 358 8672</t>
  </si>
  <si>
    <t>Valid Until:</t>
  </si>
  <si>
    <t>2026-08-22</t>
  </si>
  <si>
    <t>Email: nthabisengmal@tshwane.gov.za</t>
  </si>
  <si>
    <t>Project Period:</t>
  </si>
  <si>
    <t>6 Months (Jul-Dec 2026)</t>
  </si>
  <si>
    <t>RE: Hiring, Delivery and Servicing of Mobile Chemical Toilets - Number 2 Struben Homeless Shelter, 2 Struben Street, Marabastad</t>
  </si>
  <si>
    <t>CALCULATION BASIS</t>
  </si>
  <si>
    <t>Period Start Date:</t>
  </si>
  <si>
    <t>Total Days in Period:</t>
  </si>
  <si>
    <t>Period End Date:</t>
  </si>
  <si>
    <t>Services per Toilet / Week:</t>
  </si>
  <si>
    <t>Total Services per Toilet:</t>
  </si>
  <si>
    <t>#</t>
  </si>
  <si>
    <t>Description</t>
  </si>
  <si>
    <t>Qty
(Units)</t>
  </si>
  <si>
    <t>Unit of Measure</t>
  </si>
  <si>
    <t>Quantity
(Days/Svc)</t>
  </si>
  <si>
    <t>Rate Excl.
VAT (R)</t>
  </si>
  <si>
    <t>Total Excl.
VAT (R)</t>
  </si>
  <si>
    <t>Hire of chemical toilets (Non-Flushing Toilet) - standard units (10 Male section + 2 Female section)</t>
  </si>
  <si>
    <t>Price/day/unit</t>
  </si>
  <si>
    <t>Hire of chemical toilets (Non-Flushing Toilet) for People Living with Disability (1 Male section + 1 Female section)</t>
  </si>
  <si>
    <t>Maintenance/Service of chemical toilets - remove excreta to Wastewater Treatment Plant, clean seat, walls, floors, disinfect and refill sanitation chemical (all 14 toilets)</t>
  </si>
  <si>
    <t>Price/service/unit</t>
  </si>
  <si>
    <t>SUBTOTAL (Excl. VAT)</t>
  </si>
  <si>
    <t>VAT @ 15%</t>
  </si>
  <si>
    <t>TOTAL (Incl. VAT)</t>
  </si>
  <si>
    <t>BANKING DETAILS</t>
  </si>
  <si>
    <t>Prepared by:</t>
  </si>
  <si>
    <t>Approved by (City of Tshwane):</t>
  </si>
  <si>
    <t>Total Months in Period:</t>
  </si>
  <si>
    <t>Email: accounts@sithembe.co.za / info@sithembe.co.za</t>
  </si>
  <si>
    <t>Sithembe Transportation &amp; Projects</t>
  </si>
  <si>
    <r>
      <rPr>
        <b/>
        <sz val="10"/>
        <color rgb="FF000000"/>
        <rFont val="Calibri"/>
        <family val="2"/>
      </rPr>
      <t>Account Holder:</t>
    </r>
    <r>
      <rPr>
        <sz val="10"/>
        <color rgb="FF000000"/>
        <rFont val="Calibri"/>
        <family val="2"/>
      </rPr>
      <t xml:space="preserve"> Sithembe Transportation and Projects (Pty) Ltd</t>
    </r>
  </si>
  <si>
    <r>
      <rPr>
        <b/>
        <sz val="10"/>
        <color rgb="FF000000"/>
        <rFont val="Calibri"/>
        <family val="2"/>
      </rPr>
      <t>Bank:</t>
    </r>
    <r>
      <rPr>
        <sz val="10"/>
        <color rgb="FF000000"/>
        <rFont val="Calibri"/>
        <family val="2"/>
      </rPr>
      <t xml:space="preserve"> Nedbank Limited</t>
    </r>
  </si>
  <si>
    <r>
      <rPr>
        <b/>
        <sz val="10"/>
        <color rgb="FF000000"/>
        <rFont val="Calibri"/>
        <family val="2"/>
      </rPr>
      <t>Account Number:</t>
    </r>
    <r>
      <rPr>
        <sz val="10"/>
        <color rgb="FF000000"/>
        <rFont val="Calibri"/>
        <family val="2"/>
      </rPr>
      <t xml:space="preserve"> 1323687157</t>
    </r>
  </si>
  <si>
    <r>
      <rPr>
        <b/>
        <sz val="10"/>
        <color rgb="FF000000"/>
        <rFont val="Calibri"/>
        <family val="2"/>
      </rPr>
      <t>Branch Code:</t>
    </r>
    <r>
      <rPr>
        <sz val="10"/>
        <color rgb="FF000000"/>
        <rFont val="Calibri"/>
        <family val="2"/>
      </rPr>
      <t xml:space="preserve"> 198765</t>
    </r>
  </si>
  <si>
    <t>285 Erusmas Ave, Raslouw AH, Centurion</t>
  </si>
  <si>
    <t>SITHEMBE TRANSPORTATION AND PROJECTS (PTY) LTD</t>
  </si>
  <si>
    <t>Mobile Chemical Toilets</t>
  </si>
  <si>
    <t>STP/QT/25/0213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</si>
</sst>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1C09]dd/mmmm/yyyy;@"/>
    <numFmt numFmtId="166" formatCode="_-[$R-1C09]* #,##0.00_-;\-[$R-1C09]* #,##0.00_-;_-[$R-1C09]* &quot;-&quot;??_-;_-@_-"/>
  </numFmts>
  <fonts count="14" x14ac:knownFonts="1">
    <font>
      <sz val="11"/>
      <color theme="1"/>
      <name val="Calibri"/>
      <family val="2"/>
      <charset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b/>
      <sz val="18"/>
      <color rgb="FF002060"/>
      <name val="Calibri"/>
      <family val="2"/>
    </font>
    <font>
      <sz val="11"/>
      <color rgb="FF595959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i/>
      <sz val="9"/>
      <name val="Calibri"/>
      <family val="2"/>
    </font>
    <font>
      <b/>
      <sz val="33"/>
      <color rgb="FF00206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7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right" vertical="center"/>
    </xf>
    <xf numFmtId="164" fontId="8" fillId="4" borderId="0" xfId="0" applyNumberFormat="1" applyFont="1" applyFill="1" applyAlignment="1">
      <alignment horizontal="right" vertical="center"/>
    </xf>
    <xf numFmtId="165" fontId="8" fillId="4" borderId="3" xfId="0" applyNumberFormat="1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166" fontId="1" fillId="4" borderId="1" xfId="0" applyNumberFormat="1" applyFont="1" applyFill="1" applyBorder="1" applyAlignment="1">
      <alignment horizontal="right" vertical="center" wrapText="1"/>
    </xf>
    <xf numFmtId="166" fontId="1" fillId="5" borderId="1" xfId="0" applyNumberFormat="1" applyFont="1" applyFill="1" applyBorder="1" applyAlignment="1">
      <alignment horizontal="right" vertical="center" wrapText="1"/>
    </xf>
    <xf numFmtId="166" fontId="8" fillId="4" borderId="1" xfId="0" applyNumberFormat="1" applyFont="1" applyFill="1" applyBorder="1" applyAlignment="1">
      <alignment horizontal="right" vertical="center" wrapText="1"/>
    </xf>
    <xf numFmtId="166" fontId="8" fillId="5" borderId="1" xfId="0" applyNumberFormat="1" applyFont="1" applyFill="1" applyBorder="1" applyAlignment="1">
      <alignment horizontal="right" vertical="center" wrapText="1"/>
    </xf>
    <xf numFmtId="166" fontId="6" fillId="6" borderId="1" xfId="0" applyNumberFormat="1" applyFont="1" applyFill="1" applyBorder="1" applyAlignment="1">
      <alignment horizontal="right" vertical="center"/>
    </xf>
    <xf numFmtId="166" fontId="1" fillId="4" borderId="1" xfId="0" applyNumberFormat="1" applyFont="1" applyFill="1" applyBorder="1" applyAlignment="1">
      <alignment horizontal="right" vertical="center"/>
    </xf>
    <xf numFmtId="166" fontId="11" fillId="3" borderId="1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2" fillId="0" borderId="2" xfId="0" applyFont="1" applyBorder="1"/>
    <xf numFmtId="0" fontId="2" fillId="0" borderId="0" xfId="0" applyFont="1"/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2" fillId="2" borderId="0" xfId="0" applyFont="1" applyFill="1"/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right" vertical="center"/>
    </xf>
    <xf numFmtId="0" fontId="2" fillId="0" borderId="1" xfId="0" applyFont="1" applyBorder="1"/>
    <xf numFmtId="0" fontId="9" fillId="0" borderId="0" xfId="0" applyFont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820C"/>
      <rgbColor rgb="FFED7D31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154448</xdr:rowOff>
    </xdr:from>
    <xdr:to>
      <xdr:col>1</xdr:col>
      <xdr:colOff>1533524</xdr:colOff>
      <xdr:row>44</xdr:row>
      <xdr:rowOff>3845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252AFF-C8CD-B8DE-4ACC-FE32356B0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17523"/>
          <a:ext cx="1847849" cy="61139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showGridLines="0" tabSelected="1" view="pageBreakPreview" topLeftCell="A27" zoomScaleNormal="100" zoomScaleSheetLayoutView="100" workbookViewId="0">
      <selection activeCell="J45" sqref="J45"/>
    </sheetView>
  </sheetViews>
  <sheetFormatPr defaultColWidth="8.7109375" defaultRowHeight="15" x14ac:dyDescent="0.25"/>
  <cols>
    <col min="1" max="1" width="4.7109375" customWidth="1"/>
    <col min="2" max="2" width="53.28515625" customWidth="1"/>
    <col min="3" max="3" width="15.7109375" bestFit="1" customWidth="1"/>
    <col min="4" max="4" width="15.28515625" bestFit="1" customWidth="1"/>
    <col min="5" max="5" width="14.28515625" customWidth="1"/>
    <col min="6" max="6" width="16.140625" customWidth="1"/>
    <col min="7" max="7" width="20.28515625" bestFit="1" customWidth="1"/>
  </cols>
  <sheetData>
    <row r="1" spans="1:7" ht="6" customHeight="1" x14ac:dyDescent="0.25">
      <c r="A1" s="31"/>
      <c r="B1" s="31"/>
      <c r="C1" s="31"/>
      <c r="D1" s="31"/>
      <c r="E1" s="31"/>
      <c r="F1" s="31"/>
      <c r="G1" s="31"/>
    </row>
    <row r="2" spans="1:7" ht="19.5" customHeight="1" x14ac:dyDescent="0.25">
      <c r="A2" s="33" t="s">
        <v>50</v>
      </c>
      <c r="B2" s="33"/>
      <c r="C2" s="33"/>
      <c r="D2" s="33"/>
      <c r="E2" s="33"/>
      <c r="F2" s="32" t="e" vm="1">
        <v>#VALUE!</v>
      </c>
      <c r="G2" s="32"/>
    </row>
    <row r="3" spans="1:7" ht="19.5" customHeight="1" x14ac:dyDescent="0.25">
      <c r="A3" s="29"/>
      <c r="B3" s="29"/>
      <c r="C3" s="29"/>
      <c r="D3" s="29"/>
      <c r="E3" s="29"/>
      <c r="F3" s="32"/>
      <c r="G3" s="32"/>
    </row>
    <row r="4" spans="1:7" ht="19.5" customHeight="1" x14ac:dyDescent="0.25">
      <c r="A4" s="29"/>
      <c r="B4" s="29"/>
      <c r="C4" s="29"/>
      <c r="D4" s="29"/>
      <c r="E4" s="29"/>
      <c r="F4" s="32"/>
      <c r="G4" s="32"/>
    </row>
    <row r="5" spans="1:7" x14ac:dyDescent="0.25">
      <c r="A5" s="34" t="s">
        <v>49</v>
      </c>
      <c r="B5" s="34"/>
      <c r="C5" s="34"/>
      <c r="D5" s="34"/>
      <c r="E5" s="34"/>
      <c r="F5" s="32"/>
      <c r="G5" s="32"/>
    </row>
    <row r="6" spans="1:7" x14ac:dyDescent="0.25">
      <c r="A6" s="34" t="s">
        <v>1</v>
      </c>
      <c r="B6" s="34"/>
      <c r="C6" s="34"/>
      <c r="D6" s="34"/>
      <c r="E6" s="34"/>
      <c r="F6" s="32"/>
      <c r="G6" s="32"/>
    </row>
    <row r="7" spans="1:7" x14ac:dyDescent="0.25">
      <c r="A7" s="34" t="s">
        <v>43</v>
      </c>
      <c r="B7" s="34"/>
      <c r="C7" s="34"/>
      <c r="D7" s="34"/>
      <c r="E7" s="34"/>
      <c r="F7" s="32"/>
      <c r="G7" s="32"/>
    </row>
    <row r="8" spans="1:7" ht="42.75" x14ac:dyDescent="0.25">
      <c r="A8" s="1"/>
      <c r="B8" s="2"/>
      <c r="C8" s="2"/>
      <c r="D8" s="2"/>
      <c r="E8" s="2"/>
      <c r="F8" s="32" t="s">
        <v>0</v>
      </c>
      <c r="G8" s="32"/>
    </row>
    <row r="9" spans="1:7" x14ac:dyDescent="0.25">
      <c r="A9" s="1"/>
      <c r="B9" s="1"/>
      <c r="C9" s="1"/>
      <c r="D9" s="1"/>
      <c r="E9" s="1"/>
      <c r="F9" s="1"/>
      <c r="G9" s="1"/>
    </row>
    <row r="10" spans="1:7" ht="2.1" customHeight="1" x14ac:dyDescent="0.25">
      <c r="A10" s="35"/>
      <c r="B10" s="35"/>
      <c r="C10" s="35"/>
      <c r="D10" s="35"/>
      <c r="E10" s="35"/>
      <c r="F10" s="35"/>
      <c r="G10" s="35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37" t="s">
        <v>2</v>
      </c>
      <c r="B12" s="37"/>
      <c r="C12" s="37"/>
      <c r="D12" s="37"/>
      <c r="E12" s="1"/>
      <c r="F12" s="36" t="s">
        <v>3</v>
      </c>
      <c r="G12" s="36"/>
    </row>
    <row r="13" spans="1:7" x14ac:dyDescent="0.25">
      <c r="A13" s="38" t="s">
        <v>4</v>
      </c>
      <c r="B13" s="38"/>
      <c r="C13" s="38"/>
      <c r="D13" s="38"/>
      <c r="E13" s="1"/>
      <c r="F13" s="13" t="s">
        <v>5</v>
      </c>
      <c r="G13" s="14" t="s">
        <v>52</v>
      </c>
    </row>
    <row r="14" spans="1:7" x14ac:dyDescent="0.25">
      <c r="A14" s="39" t="s">
        <v>6</v>
      </c>
      <c r="B14" s="39"/>
      <c r="C14" s="39"/>
      <c r="D14" s="39"/>
      <c r="E14" s="1"/>
      <c r="F14" s="13" t="s">
        <v>7</v>
      </c>
      <c r="G14" s="14" t="s">
        <v>51</v>
      </c>
    </row>
    <row r="15" spans="1:7" x14ac:dyDescent="0.25">
      <c r="A15" s="39" t="s">
        <v>8</v>
      </c>
      <c r="B15" s="39"/>
      <c r="C15" s="39"/>
      <c r="D15" s="39"/>
      <c r="E15" s="1"/>
      <c r="F15" s="13" t="s">
        <v>9</v>
      </c>
      <c r="G15" s="15" t="s">
        <v>10</v>
      </c>
    </row>
    <row r="16" spans="1:7" x14ac:dyDescent="0.25">
      <c r="A16" s="39" t="s">
        <v>11</v>
      </c>
      <c r="B16" s="39"/>
      <c r="C16" s="39"/>
      <c r="D16" s="39"/>
      <c r="E16" s="1"/>
      <c r="F16" s="13" t="s">
        <v>12</v>
      </c>
      <c r="G16" s="15" t="s">
        <v>13</v>
      </c>
    </row>
    <row r="17" spans="1:7" x14ac:dyDescent="0.25">
      <c r="A17" s="39" t="s">
        <v>14</v>
      </c>
      <c r="B17" s="39"/>
      <c r="C17" s="39"/>
      <c r="D17" s="39"/>
      <c r="E17" s="1"/>
      <c r="F17" s="13" t="s">
        <v>15</v>
      </c>
      <c r="G17" s="14" t="s">
        <v>16</v>
      </c>
    </row>
    <row r="18" spans="1:7" x14ac:dyDescent="0.25">
      <c r="A18" s="1"/>
      <c r="B18" s="1"/>
      <c r="C18" s="1"/>
      <c r="D18" s="1"/>
      <c r="E18" s="1"/>
      <c r="F18" s="1"/>
      <c r="G18" s="1"/>
    </row>
    <row r="19" spans="1:7" ht="30" customHeight="1" x14ac:dyDescent="0.25">
      <c r="A19" s="42" t="s">
        <v>17</v>
      </c>
      <c r="B19" s="42"/>
      <c r="C19" s="42"/>
      <c r="D19" s="42"/>
      <c r="E19" s="42"/>
      <c r="F19" s="42"/>
      <c r="G19" s="42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37" t="s">
        <v>18</v>
      </c>
      <c r="B21" s="37"/>
      <c r="C21" s="37"/>
      <c r="D21" s="37"/>
      <c r="E21" s="37"/>
      <c r="F21" s="37"/>
      <c r="G21" s="43"/>
    </row>
    <row r="22" spans="1:7" ht="15.75" customHeight="1" x14ac:dyDescent="0.25">
      <c r="A22" s="44" t="s">
        <v>19</v>
      </c>
      <c r="B22" s="45"/>
      <c r="C22" s="16">
        <v>46204</v>
      </c>
      <c r="D22" s="46" t="s">
        <v>20</v>
      </c>
      <c r="E22" s="46"/>
      <c r="F22" s="17">
        <f>C23-C22+1</f>
        <v>184</v>
      </c>
      <c r="G22" s="17"/>
    </row>
    <row r="23" spans="1:7" ht="15.75" customHeight="1" x14ac:dyDescent="0.25">
      <c r="A23" s="44" t="s">
        <v>21</v>
      </c>
      <c r="B23" s="45"/>
      <c r="C23" s="16">
        <v>46387</v>
      </c>
      <c r="D23" s="46" t="s">
        <v>42</v>
      </c>
      <c r="E23" s="46"/>
      <c r="F23" s="18">
        <f>DATEDIF(C22,C23,"M")+1</f>
        <v>6</v>
      </c>
      <c r="G23" s="18"/>
    </row>
    <row r="24" spans="1:7" ht="15.75" customHeight="1" x14ac:dyDescent="0.25">
      <c r="A24" s="44" t="s">
        <v>22</v>
      </c>
      <c r="B24" s="45"/>
      <c r="C24" s="19">
        <v>3</v>
      </c>
      <c r="D24" s="46" t="s">
        <v>23</v>
      </c>
      <c r="E24" s="46"/>
      <c r="F24" s="18">
        <f>ROUND((F22/7)*C24,0)</f>
        <v>79</v>
      </c>
      <c r="G24" s="18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ht="35.1" customHeight="1" x14ac:dyDescent="0.25">
      <c r="A26" s="11" t="s">
        <v>24</v>
      </c>
      <c r="B26" s="11" t="s">
        <v>25</v>
      </c>
      <c r="C26" s="11" t="s">
        <v>26</v>
      </c>
      <c r="D26" s="11" t="s">
        <v>27</v>
      </c>
      <c r="E26" s="11" t="s">
        <v>28</v>
      </c>
      <c r="F26" s="11" t="s">
        <v>29</v>
      </c>
      <c r="G26" s="11" t="s">
        <v>30</v>
      </c>
    </row>
    <row r="27" spans="1:7" ht="39.950000000000003" customHeight="1" x14ac:dyDescent="0.25">
      <c r="A27" s="3">
        <v>1</v>
      </c>
      <c r="B27" s="5" t="s">
        <v>31</v>
      </c>
      <c r="C27" s="4">
        <v>12</v>
      </c>
      <c r="D27" s="3" t="s">
        <v>32</v>
      </c>
      <c r="E27" s="3">
        <f>F22</f>
        <v>184</v>
      </c>
      <c r="F27" s="22">
        <v>11.5</v>
      </c>
      <c r="G27" s="20">
        <f>C27*E27*F27</f>
        <v>25392</v>
      </c>
    </row>
    <row r="28" spans="1:7" ht="39.950000000000003" customHeight="1" x14ac:dyDescent="0.25">
      <c r="A28" s="6">
        <v>2</v>
      </c>
      <c r="B28" s="7" t="s">
        <v>33</v>
      </c>
      <c r="C28" s="8">
        <v>2</v>
      </c>
      <c r="D28" s="6" t="s">
        <v>32</v>
      </c>
      <c r="E28" s="6">
        <f>F22</f>
        <v>184</v>
      </c>
      <c r="F28" s="23">
        <v>10.5</v>
      </c>
      <c r="G28" s="21">
        <f>C28*E28*F28</f>
        <v>3864</v>
      </c>
    </row>
    <row r="29" spans="1:7" ht="39.950000000000003" customHeight="1" x14ac:dyDescent="0.25">
      <c r="A29" s="3">
        <v>3</v>
      </c>
      <c r="B29" s="5" t="s">
        <v>34</v>
      </c>
      <c r="C29" s="4">
        <v>14</v>
      </c>
      <c r="D29" s="3" t="s">
        <v>35</v>
      </c>
      <c r="E29" s="3">
        <f>F24</f>
        <v>79</v>
      </c>
      <c r="F29" s="22">
        <v>96.5</v>
      </c>
      <c r="G29" s="20">
        <f>C29*E29*F29</f>
        <v>106729</v>
      </c>
    </row>
    <row r="30" spans="1:7" ht="9.9499999999999993" customHeight="1" x14ac:dyDescent="0.25">
      <c r="A30" s="41"/>
      <c r="B30" s="41"/>
      <c r="C30" s="41"/>
      <c r="D30" s="41"/>
      <c r="E30" s="41"/>
      <c r="F30" s="41"/>
      <c r="G30" s="41"/>
    </row>
    <row r="31" spans="1:7" x14ac:dyDescent="0.25">
      <c r="A31" s="40" t="s">
        <v>36</v>
      </c>
      <c r="B31" s="40"/>
      <c r="C31" s="40"/>
      <c r="D31" s="40"/>
      <c r="E31" s="40"/>
      <c r="F31" s="40"/>
      <c r="G31" s="24">
        <f>SUM(G27:G29)</f>
        <v>135985</v>
      </c>
    </row>
    <row r="32" spans="1:7" x14ac:dyDescent="0.25">
      <c r="A32" s="47" t="s">
        <v>37</v>
      </c>
      <c r="B32" s="47"/>
      <c r="C32" s="47"/>
      <c r="D32" s="47"/>
      <c r="E32" s="47"/>
      <c r="F32" s="47"/>
      <c r="G32" s="25">
        <f>G31*0.15</f>
        <v>20397.75</v>
      </c>
    </row>
    <row r="33" spans="1:7" ht="27.95" customHeight="1" x14ac:dyDescent="0.25">
      <c r="A33" s="48" t="s">
        <v>38</v>
      </c>
      <c r="B33" s="48"/>
      <c r="C33" s="48"/>
      <c r="D33" s="48"/>
      <c r="E33" s="48"/>
      <c r="F33" s="48"/>
      <c r="G33" s="26">
        <f>G31+G32</f>
        <v>156382.75</v>
      </c>
    </row>
    <row r="34" spans="1:7" ht="15" customHeight="1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49" t="s">
        <v>39</v>
      </c>
      <c r="B35" s="49"/>
      <c r="C35" s="1"/>
      <c r="D35" s="1"/>
      <c r="E35" s="1"/>
      <c r="F35" s="1"/>
      <c r="G35" s="1"/>
    </row>
    <row r="36" spans="1:7" x14ac:dyDescent="0.25">
      <c r="A36" s="50" t="s">
        <v>45</v>
      </c>
      <c r="B36" s="50"/>
      <c r="C36" s="31"/>
      <c r="D36" s="31"/>
      <c r="E36" s="31"/>
      <c r="F36" s="31"/>
      <c r="G36" s="31"/>
    </row>
    <row r="37" spans="1:7" x14ac:dyDescent="0.25">
      <c r="A37" s="50" t="s">
        <v>46</v>
      </c>
      <c r="B37" s="50"/>
      <c r="C37" s="31"/>
      <c r="D37" s="31"/>
      <c r="E37" s="31"/>
      <c r="F37" s="31"/>
      <c r="G37" s="31"/>
    </row>
    <row r="38" spans="1:7" x14ac:dyDescent="0.25">
      <c r="A38" s="50" t="s">
        <v>47</v>
      </c>
      <c r="B38" s="50"/>
      <c r="C38" s="31"/>
      <c r="D38" s="31"/>
      <c r="E38" s="31"/>
      <c r="F38" s="31"/>
      <c r="G38" s="31"/>
    </row>
    <row r="39" spans="1:7" x14ac:dyDescent="0.25">
      <c r="A39" s="50" t="s">
        <v>48</v>
      </c>
      <c r="B39" s="50"/>
      <c r="C39" s="31"/>
      <c r="D39" s="31"/>
      <c r="E39" s="31"/>
      <c r="F39" s="31"/>
      <c r="G39" s="31"/>
    </row>
    <row r="40" spans="1:7" ht="15" customHeight="1" x14ac:dyDescent="0.25">
      <c r="A40" s="29"/>
      <c r="B40" s="29"/>
      <c r="C40" s="1"/>
      <c r="D40" s="1"/>
      <c r="E40" s="1"/>
      <c r="F40" s="1"/>
      <c r="G40" s="1"/>
    </row>
    <row r="41" spans="1:7" x14ac:dyDescent="0.25">
      <c r="A41" s="30" t="s">
        <v>40</v>
      </c>
      <c r="B41" s="30"/>
      <c r="C41" s="1"/>
      <c r="D41" s="1"/>
      <c r="E41" s="9" t="s">
        <v>41</v>
      </c>
      <c r="F41" s="1"/>
      <c r="G41" s="1"/>
    </row>
    <row r="42" spans="1:7" x14ac:dyDescent="0.25">
      <c r="A42" s="29"/>
      <c r="B42" s="29"/>
      <c r="C42" s="1"/>
      <c r="D42" s="1"/>
      <c r="E42" s="1"/>
      <c r="F42" s="1"/>
      <c r="G42" s="1"/>
    </row>
    <row r="43" spans="1:7" x14ac:dyDescent="0.25">
      <c r="A43" s="29"/>
      <c r="B43" s="29"/>
      <c r="C43" s="1"/>
      <c r="D43" s="1"/>
      <c r="E43" s="1"/>
      <c r="F43" s="1"/>
      <c r="G43" s="1"/>
    </row>
    <row r="44" spans="1:7" x14ac:dyDescent="0.25">
      <c r="A44" s="28"/>
      <c r="B44" s="28"/>
      <c r="C44" s="1"/>
      <c r="D44" s="1"/>
      <c r="E44" s="12"/>
      <c r="F44" s="12"/>
      <c r="G44" s="12"/>
    </row>
    <row r="45" spans="1:7" x14ac:dyDescent="0.25">
      <c r="A45" s="27" t="s">
        <v>44</v>
      </c>
      <c r="B45" s="27"/>
      <c r="C45" s="1"/>
      <c r="D45" s="1"/>
      <c r="E45" s="10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</sheetData>
  <mergeCells count="44">
    <mergeCell ref="C39:G39"/>
    <mergeCell ref="D22:E22"/>
    <mergeCell ref="D23:E23"/>
    <mergeCell ref="D24:E24"/>
    <mergeCell ref="A32:F32"/>
    <mergeCell ref="A33:F33"/>
    <mergeCell ref="C36:G36"/>
    <mergeCell ref="C37:G37"/>
    <mergeCell ref="C38:G38"/>
    <mergeCell ref="A35:B35"/>
    <mergeCell ref="A36:B36"/>
    <mergeCell ref="A37:B37"/>
    <mergeCell ref="A38:B38"/>
    <mergeCell ref="A39:B39"/>
    <mergeCell ref="A14:D14"/>
    <mergeCell ref="A15:D15"/>
    <mergeCell ref="A31:F31"/>
    <mergeCell ref="A30:G30"/>
    <mergeCell ref="A16:D16"/>
    <mergeCell ref="A17:D17"/>
    <mergeCell ref="A19:G19"/>
    <mergeCell ref="A21:G21"/>
    <mergeCell ref="A22:B22"/>
    <mergeCell ref="A23:B23"/>
    <mergeCell ref="A24:B24"/>
    <mergeCell ref="A10:G10"/>
    <mergeCell ref="F12:G12"/>
    <mergeCell ref="F8:G8"/>
    <mergeCell ref="A12:D12"/>
    <mergeCell ref="A13:D13"/>
    <mergeCell ref="A1:G1"/>
    <mergeCell ref="F2:G7"/>
    <mergeCell ref="A2:E2"/>
    <mergeCell ref="A3:E3"/>
    <mergeCell ref="A4:E4"/>
    <mergeCell ref="A5:E5"/>
    <mergeCell ref="A6:E6"/>
    <mergeCell ref="A7:E7"/>
    <mergeCell ref="A45:B45"/>
    <mergeCell ref="A44:B44"/>
    <mergeCell ref="A40:B40"/>
    <mergeCell ref="A41:B41"/>
    <mergeCell ref="A42:B42"/>
    <mergeCell ref="A43:B43"/>
  </mergeCells>
  <pageMargins left="6.9444444444444441E-3" right="6.9444444444444441E-3" top="6.9444444444444441E-3" bottom="6.9444444444444441E-3" header="0.511811023622047" footer="0.511811023622047"/>
  <pageSetup paperSize="9" scale="72" fitToHeight="0" orientation="portrait" horizontalDpi="300" verticalDpi="300" r:id="rId1"/>
  <ignoredErrors>
    <ignoredError sqref="E28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F579E3-CFE6-4CD2-B429-8AE67DF45613}">
  <ds:schemaRefs>
    <ds:schemaRef ds:uri="http://purl.org/dc/terms/"/>
    <ds:schemaRef ds:uri="http://purl.org/dc/dcmitype/"/>
    <ds:schemaRef ds:uri="f62d4ef4-b04a-4b31-a502-7b4d1ae74549"/>
    <ds:schemaRef ds:uri="http://schemas.microsoft.com/office/2006/metadata/properties"/>
    <ds:schemaRef ds:uri="3e1fb217-3513-4a84-b39a-87d8fab7c42d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8F25A57-3B7F-4374-8241-4BD49F9FCD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BA5A42-3DC6-4B73-9DB5-B91646B74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Quote</vt:lpstr>
      <vt:lpstr>Quote!Print_Area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Sithembe Accounts</cp:lastModifiedBy>
  <cp:revision>0</cp:revision>
  <cp:lastPrinted>2026-07-23T11:42:21Z</cp:lastPrinted>
  <dcterms:created xsi:type="dcterms:W3CDTF">2026-07-23T09:33:33Z</dcterms:created>
  <dcterms:modified xsi:type="dcterms:W3CDTF">2026-07-23T13:27:23Z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0x0101004F889B8502A024479EA1CF80A2D6DF12</vt:lpwstr>
  </property>
</Properties>
</file>