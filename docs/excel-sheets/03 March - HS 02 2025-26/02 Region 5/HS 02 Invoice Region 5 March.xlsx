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3 March/03 - HS 02 2025-26/02 Region 5/"/>
    </mc:Choice>
  </mc:AlternateContent>
  <xr:revisionPtr revIDLastSave="309" documentId="8_{7706A868-A029-494B-9320-4A43019CD945}" xr6:coauthVersionLast="47" xr6:coauthVersionMax="47" xr10:uidLastSave="{AAF208F8-CCE5-4F54-ABAD-B1595069F2F0}"/>
  <bookViews>
    <workbookView xWindow="-108" yWindow="-108" windowWidth="23256" windowHeight="12456" tabRatio="870" xr2:uid="{00000000-000D-0000-FFFF-FFFF00000000}"/>
  </bookViews>
  <sheets>
    <sheet name="Invoice — Region 5" sheetId="14" r:id="rId1"/>
    <sheet name="Service Notes" sheetId="23" r:id="rId2"/>
    <sheet name="Clearning Schedule" sheetId="24" r:id="rId3"/>
    <sheet name="Employee List" sheetId="25" r:id="rId4"/>
  </sheets>
  <definedNames>
    <definedName name="_xlnm.Print_Area" localSheetId="2">'Clearning Schedule'!$A$1:$D$18</definedName>
    <definedName name="_xlnm.Print_Area" localSheetId="3">'Employee List'!$A$1:$E$18</definedName>
    <definedName name="_xlnm.Print_Area" localSheetId="0">'Invoice — Region 5'!$A$1:$H$43</definedName>
    <definedName name="_xlnm.Print_Area" localSheetId="1">'Service Notes'!$A$1:$J$18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5" l="1"/>
  <c r="D5" i="25"/>
  <c r="D4" i="25"/>
  <c r="C8" i="24"/>
  <c r="A5" i="24" l="1"/>
  <c r="A6" i="24"/>
  <c r="A4" i="24"/>
  <c r="C9" i="23"/>
  <c r="C10" i="23"/>
  <c r="C8" i="23"/>
  <c r="J9" i="23"/>
  <c r="F22" i="14" s="1"/>
  <c r="G22" i="14" s="1"/>
  <c r="J10" i="23"/>
  <c r="F23" i="14" s="1"/>
  <c r="G23" i="14" s="1"/>
  <c r="J8" i="23"/>
  <c r="F21" i="14" s="1"/>
  <c r="G21" i="14" s="1"/>
  <c r="E22" i="14"/>
  <c r="E23" i="14"/>
  <c r="E21" i="14"/>
  <c r="A9" i="23"/>
  <c r="A10" i="23"/>
  <c r="A8" i="23"/>
  <c r="C26" i="14"/>
  <c r="G24" i="14"/>
  <c r="E24" i="14"/>
  <c r="D24" i="14"/>
  <c r="E26" i="14" l="1"/>
  <c r="G26" i="14"/>
  <c r="H22" i="14"/>
  <c r="A39" i="14"/>
  <c r="H26" i="14" l="1"/>
  <c r="H21" i="14"/>
  <c r="H23" i="14"/>
  <c r="H27" i="14" l="1"/>
  <c r="H28" i="1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<sst xmlns="http://schemas.openxmlformats.org/spreadsheetml/2006/main" count="105" uniqueCount="76">
  <si>
    <t>Date:</t>
  </si>
  <si>
    <t>Signature:</t>
  </si>
  <si>
    <t>Tel: 012 880 3155  |  Cell: 073 124 1535  |  Fax: 086 603 7935</t>
  </si>
  <si>
    <t>Invoice Date:</t>
  </si>
  <si>
    <t>Service Period:</t>
  </si>
  <si>
    <t>Tax Invoice No:</t>
  </si>
  <si>
    <t>BILL TO:</t>
  </si>
  <si>
    <t>Region:</t>
  </si>
  <si>
    <t>#</t>
  </si>
  <si>
    <t>Qty
(Units)</t>
  </si>
  <si>
    <t>Days in
Period</t>
  </si>
  <si>
    <t>No of
Services</t>
  </si>
  <si>
    <t>BANKING DETAILS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</si>
  <si>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</si>
  <si>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</si>
  <si>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</si>
  <si>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</si>
  <si>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</si>
  <si>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</si>
  <si>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</si>
  <si>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</si>
  <si>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</si>
  <si>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</si>
  <si>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</si>
  <si>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Sub Totals</t>
  </si>
  <si>
    <t>Gross Total</t>
  </si>
  <si>
    <t>Email: accounts@sithembe.co.za  |  info@sithembe.co.za</t>
  </si>
  <si>
    <t>RENTALS &amp; RELOCATIONS</t>
  </si>
  <si>
    <t>Tax Invoice</t>
  </si>
  <si>
    <t>Rental Amount
R11.50</t>
  </si>
  <si>
    <t>Service Amount
R96.50</t>
  </si>
  <si>
    <t>Contract Ref: HS 02-2025/26</t>
  </si>
  <si>
    <t>City of Tshwane</t>
  </si>
  <si>
    <t>PO Box 6338</t>
  </si>
  <si>
    <t>Pretoria</t>
  </si>
  <si>
    <t>0001</t>
  </si>
  <si>
    <t>Tel: 012 358 3368</t>
  </si>
  <si>
    <t>01 Mar 2026 - 25 Mar 2026</t>
  </si>
  <si>
    <t>City of Thswane</t>
  </si>
  <si>
    <t>Hiring and Servicing of chemical toilets</t>
  </si>
  <si>
    <t>HS 02-2025/26</t>
  </si>
  <si>
    <t>Service Notes (From 1 March 2026 To 25 March 2026)</t>
  </si>
  <si>
    <t>Date</t>
  </si>
  <si>
    <t>No of 
Service</t>
  </si>
  <si>
    <t>VAToilet Number: 4070272101 | Vendor No: 101776</t>
  </si>
  <si>
    <t>AccounToilet Number: 1323687157</t>
  </si>
  <si>
    <t>Rayton</t>
  </si>
  <si>
    <t>STP-INV-26-0331</t>
  </si>
  <si>
    <t>TUESDAY</t>
  </si>
  <si>
    <t>FRIDAY</t>
  </si>
  <si>
    <t>Informal Settlement Area</t>
  </si>
  <si>
    <t>No of Toilets</t>
  </si>
  <si>
    <t>Weekly Cleaning Dates</t>
  </si>
  <si>
    <t>Service Provider Official:</t>
  </si>
  <si>
    <t>Signature</t>
  </si>
  <si>
    <t>Tuesday &amp; Friday</t>
  </si>
  <si>
    <t>Region 5</t>
  </si>
  <si>
    <t>VAT Number: 4000142267</t>
  </si>
  <si>
    <t>Weekly Cleaning Schedule</t>
  </si>
  <si>
    <t>EPWP Employee List</t>
  </si>
  <si>
    <t>FULLNAME</t>
  </si>
  <si>
    <t>ID NUMBER</t>
  </si>
  <si>
    <t>LOCATION</t>
  </si>
  <si>
    <t>POSITION</t>
  </si>
  <si>
    <t>DAVID TSWAI</t>
  </si>
  <si>
    <t>CO-ORDINATOR</t>
  </si>
  <si>
    <t>NONDUMISA MDAKANE</t>
  </si>
  <si>
    <t>CLEANER</t>
  </si>
  <si>
    <t>BRANDY MOTHWA</t>
  </si>
  <si>
    <t>THEMBINKOSI MAGAGULA</t>
  </si>
  <si>
    <t>PROMISE LEHLAE</t>
  </si>
  <si>
    <t>Service Notes - Pump &amp; Clean</t>
  </si>
  <si>
    <t>Total Number of Toilets</t>
  </si>
  <si>
    <t>Wallmansthall Berlin</t>
  </si>
  <si>
    <t>Pienaarspoort</t>
  </si>
  <si>
    <t>PIENAARSPOORT &amp; RAYTON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</si>
</sst>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  <numFmt numFmtId="167" formatCode="[$-1C09]dd\ mmmm\ yyyy;@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b/>
      <sz val="9"/>
      <color theme="0" tint="-0.499984740745262"/>
      <name val="Arial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13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25" fillId="4" borderId="0" xfId="0" applyFont="1" applyFill="1"/>
    <xf numFmtId="0" fontId="7" fillId="4" borderId="0" xfId="0" applyFont="1" applyFill="1"/>
    <xf numFmtId="1" fontId="7" fillId="4" borderId="5" xfId="0" applyNumberFormat="1" applyFont="1" applyFill="1" applyBorder="1"/>
    <xf numFmtId="0" fontId="7" fillId="4" borderId="5" xfId="0" applyFont="1" applyFill="1" applyBorder="1"/>
    <xf numFmtId="44" fontId="7" fillId="4" borderId="5" xfId="1" applyFont="1" applyFill="1" applyBorder="1"/>
    <xf numFmtId="44" fontId="7" fillId="4" borderId="5" xfId="0" applyNumberFormat="1" applyFont="1" applyFill="1" applyBorder="1"/>
    <xf numFmtId="44" fontId="27" fillId="6" borderId="5" xfId="0" applyNumberFormat="1" applyFont="1" applyFill="1" applyBorder="1"/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10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4" fillId="0" borderId="0" xfId="0" applyFont="1" applyAlignment="1">
      <alignment vertical="center"/>
    </xf>
    <xf numFmtId="166" fontId="35" fillId="0" borderId="0" xfId="0" applyNumberFormat="1" applyFont="1"/>
    <xf numFmtId="166" fontId="0" fillId="0" borderId="0" xfId="0" applyNumberFormat="1" applyAlignment="1">
      <alignment horizontal="center" vertical="center"/>
    </xf>
    <xf numFmtId="0" fontId="27" fillId="0" borderId="5" xfId="0" applyFont="1" applyBorder="1"/>
    <xf numFmtId="0" fontId="22" fillId="4" borderId="9" xfId="0" applyFont="1" applyFill="1" applyBorder="1" applyAlignment="1">
      <alignment horizontal="center" vertical="center" wrapText="1"/>
    </xf>
    <xf numFmtId="166" fontId="19" fillId="0" borderId="1" xfId="0" applyNumberFormat="1" applyFont="1" applyBorder="1" applyAlignment="1">
      <alignment horizontal="left"/>
    </xf>
    <xf numFmtId="166" fontId="19" fillId="0" borderId="0" xfId="0" applyNumberFormat="1" applyFont="1" applyAlignment="1">
      <alignment horizontal="left"/>
    </xf>
    <xf numFmtId="0" fontId="37" fillId="0" borderId="0" xfId="0" applyFont="1" applyAlignment="1">
      <alignment horizontal="left"/>
    </xf>
    <xf numFmtId="166" fontId="35" fillId="0" borderId="0" xfId="0" applyNumberFormat="1" applyFont="1" applyAlignment="1">
      <alignment horizontal="left"/>
    </xf>
    <xf numFmtId="0" fontId="14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1" fontId="15" fillId="0" borderId="11" xfId="0" applyNumberFormat="1" applyFont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44" fontId="17" fillId="0" borderId="11" xfId="1" applyFont="1" applyFill="1" applyBorder="1" applyAlignment="1">
      <alignment horizontal="right" vertical="center"/>
    </xf>
    <xf numFmtId="44" fontId="18" fillId="0" borderId="11" xfId="1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left" vertical="center"/>
    </xf>
    <xf numFmtId="1" fontId="15" fillId="3" borderId="11" xfId="0" applyNumberFormat="1" applyFont="1" applyFill="1" applyBorder="1" applyAlignment="1">
      <alignment horizontal="center" vertical="center"/>
    </xf>
    <xf numFmtId="1" fontId="16" fillId="3" borderId="11" xfId="0" applyNumberFormat="1" applyFont="1" applyFill="1" applyBorder="1" applyAlignment="1">
      <alignment horizontal="center" vertical="center"/>
    </xf>
    <xf numFmtId="4" fontId="17" fillId="3" borderId="11" xfId="0" applyNumberFormat="1" applyFont="1" applyFill="1" applyBorder="1" applyAlignment="1">
      <alignment horizontal="right" vertical="center"/>
    </xf>
    <xf numFmtId="4" fontId="18" fillId="3" borderId="11" xfId="0" applyNumberFormat="1" applyFont="1" applyFill="1" applyBorder="1" applyAlignment="1">
      <alignment horizontal="right" vertical="center"/>
    </xf>
    <xf numFmtId="0" fontId="0" fillId="0" borderId="11" xfId="0" applyBorder="1"/>
    <xf numFmtId="1" fontId="0" fillId="0" borderId="11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16" fontId="1" fillId="0" borderId="11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39" fillId="0" borderId="11" xfId="0" applyFont="1" applyBorder="1"/>
    <xf numFmtId="0" fontId="40" fillId="0" borderId="11" xfId="0" applyFont="1" applyBorder="1" applyAlignment="1">
      <alignment vertical="center"/>
    </xf>
    <xf numFmtId="0" fontId="38" fillId="0" borderId="11" xfId="0" applyFont="1" applyBorder="1" applyAlignment="1">
      <alignment vertical="center"/>
    </xf>
    <xf numFmtId="16" fontId="38" fillId="0" borderId="11" xfId="0" applyNumberFormat="1" applyFont="1" applyBorder="1" applyAlignment="1">
      <alignment vertical="center"/>
    </xf>
    <xf numFmtId="0" fontId="38" fillId="0" borderId="11" xfId="0" applyFont="1" applyBorder="1"/>
    <xf numFmtId="0" fontId="38" fillId="0" borderId="11" xfId="0" applyFont="1" applyBorder="1" applyAlignment="1">
      <alignment horizontal="center" vertical="center"/>
    </xf>
    <xf numFmtId="166" fontId="35" fillId="0" borderId="1" xfId="0" applyNumberFormat="1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10" fillId="0" borderId="1" xfId="0" applyFont="1" applyBorder="1"/>
    <xf numFmtId="166" fontId="19" fillId="0" borderId="1" xfId="0" applyNumberFormat="1" applyFont="1" applyBorder="1"/>
    <xf numFmtId="0" fontId="19" fillId="0" borderId="1" xfId="0" applyFont="1" applyBorder="1"/>
    <xf numFmtId="0" fontId="10" fillId="0" borderId="0" xfId="0" applyFont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32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33" fillId="0" borderId="0" xfId="0" quotePrefix="1" applyFont="1" applyAlignment="1">
      <alignment horizontal="left" vertical="center"/>
    </xf>
    <xf numFmtId="0" fontId="21" fillId="4" borderId="3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0" fillId="0" borderId="0" xfId="0"/>
    <xf numFmtId="0" fontId="27" fillId="6" borderId="6" xfId="0" applyFont="1" applyFill="1" applyBorder="1"/>
    <xf numFmtId="0" fontId="27" fillId="6" borderId="7" xfId="0" applyFont="1" applyFill="1" applyBorder="1"/>
    <xf numFmtId="0" fontId="22" fillId="4" borderId="4" xfId="0" applyFont="1" applyFill="1" applyBorder="1" applyAlignment="1">
      <alignment horizontal="right" vertical="center" wrapText="1"/>
    </xf>
    <xf numFmtId="0" fontId="22" fillId="4" borderId="10" xfId="0" applyFont="1" applyFill="1" applyBorder="1" applyAlignment="1">
      <alignment horizontal="right" vertical="center" wrapText="1"/>
    </xf>
    <xf numFmtId="0" fontId="29" fillId="5" borderId="0" xfId="0" applyFont="1" applyFill="1" applyAlignment="1">
      <alignment horizontal="right" vertical="center"/>
    </xf>
    <xf numFmtId="0" fontId="4" fillId="0" borderId="0" xfId="0" applyFont="1"/>
    <xf numFmtId="0" fontId="31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166" fontId="35" fillId="0" borderId="0" xfId="0" applyNumberFormat="1" applyFont="1" applyAlignment="1">
      <alignment horizontal="left"/>
    </xf>
    <xf numFmtId="0" fontId="0" fillId="0" borderId="11" xfId="0" applyBorder="1"/>
    <xf numFmtId="0" fontId="8" fillId="5" borderId="0" xfId="0" applyFont="1" applyFill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9" fillId="0" borderId="0" xfId="0" applyFont="1" applyAlignment="1">
      <alignment vertical="top"/>
    </xf>
    <xf numFmtId="0" fontId="19" fillId="0" borderId="0" xfId="0" applyFont="1"/>
    <xf numFmtId="0" fontId="36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1" xfId="0" applyFont="1" applyBorder="1"/>
    <xf numFmtId="166" fontId="19" fillId="0" borderId="1" xfId="0" applyNumberFormat="1" applyFont="1" applyBorder="1" applyAlignment="1">
      <alignment horizontal="left"/>
    </xf>
    <xf numFmtId="0" fontId="39" fillId="0" borderId="11" xfId="0" applyFont="1" applyBorder="1" applyAlignment="1">
      <alignment horizontal="left"/>
    </xf>
    <xf numFmtId="1" fontId="40" fillId="0" borderId="11" xfId="0" quotePrefix="1" applyNumberFormat="1" applyFont="1" applyBorder="1" applyAlignment="1">
      <alignment horizontal="left" vertical="center"/>
    </xf>
    <xf numFmtId="1" fontId="38" fillId="0" borderId="11" xfId="0" quotePrefix="1" applyNumberFormat="1" applyFont="1" applyBorder="1" applyAlignment="1">
      <alignment horizontal="left" vertical="center"/>
    </xf>
    <xf numFmtId="1" fontId="38" fillId="0" borderId="11" xfId="0" quotePrefix="1" applyNumberFormat="1" applyFont="1" applyBorder="1" applyAlignment="1">
      <alignment horizontal="left"/>
    </xf>
    <xf numFmtId="0" fontId="38" fillId="0" borderId="11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137160</xdr:rowOff>
    </xdr:from>
    <xdr:to>
      <xdr:col>1</xdr:col>
      <xdr:colOff>1709432</xdr:colOff>
      <xdr:row>35</xdr:row>
      <xdr:rowOff>24185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BC1BB-51AC-4114-9B34-DA68B450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21980"/>
          <a:ext cx="1869452" cy="61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11</xdr:row>
      <xdr:rowOff>106680</xdr:rowOff>
    </xdr:from>
    <xdr:to>
      <xdr:col>1</xdr:col>
      <xdr:colOff>914400</xdr:colOff>
      <xdr:row>14</xdr:row>
      <xdr:rowOff>62285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09620-A93C-4F81-971C-5BE4C02E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236720"/>
          <a:ext cx="1524000" cy="50424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I40"/>
  <sheetViews>
    <sheetView showGridLines="0" tabSelected="1" view="pageBreakPreview" zoomScaleNormal="100" zoomScaleSheetLayoutView="100" workbookViewId="0">
      <selection activeCell="I15" sqref="I15"/>
    </sheetView>
  </sheetViews>
  <sheetFormatPr defaultRowHeight="14.4" x14ac:dyDescent="0.3"/>
  <cols>
    <col min="1" max="1" width="2.33203125" bestFit="1" customWidth="1"/>
    <col min="2" max="2" width="27.88671875" bestFit="1" customWidth="1"/>
    <col min="3" max="4" width="7.6640625" customWidth="1"/>
    <col min="5" max="5" width="14.33203125" customWidth="1"/>
    <col min="6" max="6" width="6.6640625" bestFit="1" customWidth="1"/>
    <col min="7" max="7" width="17.33203125" bestFit="1" customWidth="1"/>
    <col min="8" max="8" width="22.6640625" customWidth="1"/>
    <col min="9" max="9" width="12.44140625" bestFit="1" customWidth="1"/>
    <col min="10" max="12" width="10.6640625" customWidth="1"/>
  </cols>
  <sheetData>
    <row r="1" spans="1:8" ht="22.8" x14ac:dyDescent="0.3">
      <c r="A1" s="96" t="s">
        <v>23</v>
      </c>
      <c r="B1" s="97"/>
      <c r="C1" s="97"/>
      <c r="D1" s="97"/>
      <c r="E1" s="97"/>
      <c r="F1" s="97"/>
      <c r="G1" s="94" t="s">
        <v>28</v>
      </c>
      <c r="H1" s="94"/>
    </row>
    <row r="2" spans="1:8" ht="1.95" customHeight="1" x14ac:dyDescent="0.3">
      <c r="A2" s="9"/>
      <c r="B2" s="9"/>
      <c r="C2" s="9"/>
      <c r="D2" s="9"/>
      <c r="E2" s="9"/>
      <c r="F2" s="9"/>
      <c r="G2" s="9"/>
      <c r="H2" s="9"/>
    </row>
    <row r="3" spans="1:8" x14ac:dyDescent="0.3">
      <c r="A3" s="78" t="s">
        <v>2</v>
      </c>
      <c r="B3" s="78"/>
      <c r="C3" s="78"/>
      <c r="D3" s="78"/>
      <c r="E3" s="81" t="s">
        <v>5</v>
      </c>
      <c r="F3" s="81"/>
      <c r="G3" s="81"/>
      <c r="H3" s="18" t="s">
        <v>47</v>
      </c>
    </row>
    <row r="4" spans="1:8" x14ac:dyDescent="0.3">
      <c r="A4" s="78" t="s">
        <v>26</v>
      </c>
      <c r="B4" s="78"/>
      <c r="C4" s="78"/>
      <c r="D4" s="78"/>
      <c r="E4" s="81" t="s">
        <v>3</v>
      </c>
      <c r="F4" s="81"/>
      <c r="G4" s="81"/>
      <c r="H4" s="20">
        <v>46107</v>
      </c>
    </row>
    <row r="5" spans="1:8" x14ac:dyDescent="0.3">
      <c r="A5" s="78" t="s">
        <v>44</v>
      </c>
      <c r="B5" s="78"/>
      <c r="C5" s="78"/>
      <c r="D5" s="78"/>
      <c r="E5" s="81" t="s">
        <v>4</v>
      </c>
      <c r="F5" s="81"/>
      <c r="G5" s="81"/>
      <c r="H5" s="35" t="s">
        <v>37</v>
      </c>
    </row>
    <row r="6" spans="1:8" x14ac:dyDescent="0.3">
      <c r="A6" s="78" t="s">
        <v>22</v>
      </c>
      <c r="B6" s="78"/>
      <c r="C6" s="78"/>
      <c r="D6" s="78"/>
      <c r="E6" s="81" t="s">
        <v>7</v>
      </c>
      <c r="F6" s="81"/>
      <c r="G6" s="81"/>
      <c r="H6" s="18" t="s">
        <v>56</v>
      </c>
    </row>
    <row r="7" spans="1:8" x14ac:dyDescent="0.3">
      <c r="A7" s="78" t="s">
        <v>31</v>
      </c>
      <c r="B7" s="78"/>
      <c r="C7" s="78"/>
      <c r="D7" s="78"/>
      <c r="E7" s="81"/>
      <c r="F7" s="81"/>
      <c r="G7" s="81"/>
      <c r="H7" s="18"/>
    </row>
    <row r="8" spans="1:8" x14ac:dyDescent="0.3">
      <c r="A8" s="78"/>
      <c r="B8" s="78"/>
      <c r="C8" s="78"/>
      <c r="D8" s="78"/>
      <c r="E8" s="81"/>
      <c r="F8" s="81"/>
      <c r="G8" s="81"/>
      <c r="H8" s="18"/>
    </row>
    <row r="9" spans="1:8" x14ac:dyDescent="0.3">
      <c r="A9" s="5"/>
      <c r="B9" s="7"/>
      <c r="C9" s="2"/>
      <c r="D9" s="2"/>
      <c r="E9" s="95"/>
      <c r="F9" s="95"/>
      <c r="G9" s="95"/>
      <c r="H9" s="19"/>
    </row>
    <row r="10" spans="1:8" x14ac:dyDescent="0.3">
      <c r="A10" s="80" t="s">
        <v>6</v>
      </c>
      <c r="B10" s="80"/>
      <c r="C10" s="80"/>
      <c r="D10" s="80"/>
      <c r="E10" s="81"/>
      <c r="F10" s="81"/>
      <c r="G10" s="81"/>
      <c r="H10" s="19"/>
    </row>
    <row r="11" spans="1:8" x14ac:dyDescent="0.3">
      <c r="A11" s="82" t="s">
        <v>32</v>
      </c>
      <c r="B11" s="82"/>
      <c r="C11" s="82"/>
      <c r="D11" s="82"/>
      <c r="E11" s="81"/>
      <c r="F11" s="81"/>
      <c r="G11" s="81"/>
      <c r="H11" s="18"/>
    </row>
    <row r="12" spans="1:8" x14ac:dyDescent="0.3">
      <c r="A12" s="82" t="s">
        <v>33</v>
      </c>
      <c r="B12" s="82"/>
      <c r="C12" s="82"/>
      <c r="D12" s="82"/>
      <c r="E12" s="81"/>
      <c r="F12" s="81"/>
      <c r="G12" s="81"/>
      <c r="H12" s="18"/>
    </row>
    <row r="13" spans="1:8" x14ac:dyDescent="0.3">
      <c r="A13" s="82" t="s">
        <v>34</v>
      </c>
      <c r="B13" s="82"/>
      <c r="C13" s="82"/>
      <c r="D13" s="82"/>
      <c r="E13" s="81"/>
      <c r="F13" s="81"/>
      <c r="G13" s="81"/>
      <c r="H13" s="31"/>
    </row>
    <row r="14" spans="1:8" x14ac:dyDescent="0.3">
      <c r="A14" s="83" t="s">
        <v>35</v>
      </c>
      <c r="B14" s="82"/>
      <c r="C14" s="82"/>
      <c r="D14" s="82"/>
      <c r="E14" s="81"/>
      <c r="F14" s="81"/>
      <c r="G14" s="81"/>
      <c r="H14" s="31"/>
    </row>
    <row r="15" spans="1:8" x14ac:dyDescent="0.3">
      <c r="A15" s="89"/>
      <c r="B15" s="89"/>
      <c r="C15" s="89"/>
      <c r="D15" s="89"/>
      <c r="E15" s="81"/>
      <c r="F15" s="81"/>
      <c r="G15" s="81"/>
      <c r="H15" s="18"/>
    </row>
    <row r="16" spans="1:8" x14ac:dyDescent="0.3">
      <c r="A16" s="82" t="s">
        <v>57</v>
      </c>
      <c r="B16" s="82"/>
      <c r="C16" s="82"/>
      <c r="D16" s="82"/>
      <c r="E16" s="2"/>
      <c r="F16" s="2"/>
      <c r="G16" s="10"/>
      <c r="H16" s="11"/>
    </row>
    <row r="17" spans="1:9" x14ac:dyDescent="0.3">
      <c r="A17" s="82" t="s">
        <v>36</v>
      </c>
      <c r="B17" s="82"/>
      <c r="C17" s="82"/>
      <c r="D17" s="82"/>
      <c r="E17" s="2"/>
      <c r="F17" s="2"/>
      <c r="G17" s="10"/>
      <c r="H17" s="11"/>
    </row>
    <row r="18" spans="1:9" x14ac:dyDescent="0.3">
      <c r="E18" s="2"/>
      <c r="F18" s="2"/>
      <c r="G18" s="10"/>
      <c r="H18" s="11"/>
    </row>
    <row r="19" spans="1:9" x14ac:dyDescent="0.3">
      <c r="A19" s="85" t="s">
        <v>8</v>
      </c>
      <c r="B19" s="87" t="s">
        <v>16</v>
      </c>
      <c r="C19" s="84" t="s">
        <v>27</v>
      </c>
      <c r="D19" s="84"/>
      <c r="E19" s="84"/>
      <c r="F19" s="84" t="s">
        <v>14</v>
      </c>
      <c r="G19" s="84"/>
      <c r="H19" s="92" t="s">
        <v>15</v>
      </c>
    </row>
    <row r="20" spans="1:9" ht="30.6" x14ac:dyDescent="0.3">
      <c r="A20" s="86"/>
      <c r="B20" s="88" t="s">
        <v>16</v>
      </c>
      <c r="C20" s="40" t="s">
        <v>9</v>
      </c>
      <c r="D20" s="40" t="s">
        <v>10</v>
      </c>
      <c r="E20" s="40" t="s">
        <v>29</v>
      </c>
      <c r="F20" s="40" t="s">
        <v>11</v>
      </c>
      <c r="G20" s="40" t="s">
        <v>30</v>
      </c>
      <c r="H20" s="93"/>
    </row>
    <row r="21" spans="1:9" x14ac:dyDescent="0.3">
      <c r="A21" s="45">
        <v>1</v>
      </c>
      <c r="B21" s="46" t="s">
        <v>73</v>
      </c>
      <c r="C21" s="47">
        <v>22</v>
      </c>
      <c r="D21" s="48">
        <v>21</v>
      </c>
      <c r="E21" s="49">
        <f>IF(C21="","",C21*D21*11.5)</f>
        <v>5313</v>
      </c>
      <c r="F21" s="47">
        <f>'Service Notes'!J8</f>
        <v>5</v>
      </c>
      <c r="G21" s="49">
        <f>IF(C21="","",C21*F21*96.5)</f>
        <v>10615</v>
      </c>
      <c r="H21" s="50">
        <f>IF(C21="","",E21+G21)</f>
        <v>15928</v>
      </c>
      <c r="I21" s="32"/>
    </row>
    <row r="22" spans="1:9" x14ac:dyDescent="0.3">
      <c r="A22" s="45">
        <v>2</v>
      </c>
      <c r="B22" s="46" t="s">
        <v>46</v>
      </c>
      <c r="C22" s="47">
        <v>1</v>
      </c>
      <c r="D22" s="48">
        <v>23</v>
      </c>
      <c r="E22" s="49">
        <f t="shared" ref="E22:E23" si="0">IF(C22="","",C22*D22*11.5)</f>
        <v>264.5</v>
      </c>
      <c r="F22" s="47">
        <f>'Service Notes'!J9</f>
        <v>6</v>
      </c>
      <c r="G22" s="49">
        <f>IF(C22="","",C22*F22*96.5)</f>
        <v>579</v>
      </c>
      <c r="H22" s="50">
        <f>IF(C22="","",E22+G22)</f>
        <v>843.5</v>
      </c>
      <c r="I22" s="32"/>
    </row>
    <row r="23" spans="1:9" x14ac:dyDescent="0.3">
      <c r="A23" s="45">
        <v>3</v>
      </c>
      <c r="B23" s="46" t="s">
        <v>74</v>
      </c>
      <c r="C23" s="47">
        <v>12</v>
      </c>
      <c r="D23" s="48">
        <v>23</v>
      </c>
      <c r="E23" s="49">
        <f t="shared" si="0"/>
        <v>3174</v>
      </c>
      <c r="F23" s="47">
        <f>'Service Notes'!J10</f>
        <v>6</v>
      </c>
      <c r="G23" s="49">
        <f>IF(C23="","",C23*F23*96.5)</f>
        <v>6948</v>
      </c>
      <c r="H23" s="50">
        <f t="shared" ref="H23" si="1">IF(C23="","",E23+G23)</f>
        <v>10122</v>
      </c>
    </row>
    <row r="24" spans="1:9" x14ac:dyDescent="0.3">
      <c r="A24" s="45"/>
      <c r="B24" s="51"/>
      <c r="C24" s="52"/>
      <c r="D24" s="53" t="str">
        <f>IF(C24="","",$H$13)</f>
        <v/>
      </c>
      <c r="E24" s="54" t="str">
        <f>IF(C24="","",C24*$H$13*$H$14)</f>
        <v/>
      </c>
      <c r="F24" s="52"/>
      <c r="G24" s="54" t="str">
        <f>IF(C24="","",C24*F24*$H$15)</f>
        <v/>
      </c>
      <c r="H24" s="55"/>
    </row>
    <row r="25" spans="1:9" x14ac:dyDescent="0.3">
      <c r="A25" s="1"/>
      <c r="B25" s="8"/>
      <c r="C25" s="8"/>
      <c r="D25" s="8"/>
      <c r="E25" s="3"/>
      <c r="F25" s="3"/>
      <c r="G25" s="4"/>
    </row>
    <row r="26" spans="1:9" x14ac:dyDescent="0.3">
      <c r="A26" s="24"/>
      <c r="B26" s="25" t="s">
        <v>24</v>
      </c>
      <c r="C26" s="26">
        <f>SUM(C21:C24)</f>
        <v>35</v>
      </c>
      <c r="D26" s="27"/>
      <c r="E26" s="28">
        <f>SUM(E21:E24)</f>
        <v>8751.5</v>
      </c>
      <c r="F26" s="27"/>
      <c r="G26" s="28">
        <f>SUM(G21:G24)</f>
        <v>18142</v>
      </c>
      <c r="H26" s="29">
        <f>SUM(E26,G26)</f>
        <v>26893.5</v>
      </c>
      <c r="I26" s="32"/>
    </row>
    <row r="27" spans="1:9" x14ac:dyDescent="0.3">
      <c r="A27" s="1"/>
      <c r="B27" s="8"/>
      <c r="C27" s="8"/>
      <c r="D27" s="8"/>
      <c r="G27" s="3" t="s">
        <v>13</v>
      </c>
      <c r="H27" s="12">
        <f>H26*15%</f>
        <v>4034.0249999999996</v>
      </c>
    </row>
    <row r="28" spans="1:9" ht="15.6" x14ac:dyDescent="0.3">
      <c r="A28" s="79" t="s">
        <v>12</v>
      </c>
      <c r="B28" s="79"/>
      <c r="C28" s="79"/>
      <c r="D28" s="16"/>
      <c r="E28" s="39"/>
      <c r="F28" s="90" t="s">
        <v>25</v>
      </c>
      <c r="G28" s="91"/>
      <c r="H28" s="30">
        <f>H26+H27</f>
        <v>30927.525000000001</v>
      </c>
    </row>
    <row r="29" spans="1:9" x14ac:dyDescent="0.3">
      <c r="A29" s="21" t="s">
        <v>17</v>
      </c>
      <c r="B29" s="22"/>
      <c r="C29" s="22"/>
      <c r="D29" s="5"/>
      <c r="E29" s="5"/>
      <c r="F29" s="5"/>
      <c r="G29" s="5"/>
    </row>
    <row r="30" spans="1:9" x14ac:dyDescent="0.3">
      <c r="A30" s="21" t="s">
        <v>18</v>
      </c>
      <c r="B30" s="22"/>
      <c r="C30" s="22"/>
      <c r="D30" s="14"/>
      <c r="E30" s="14"/>
      <c r="F30" s="14"/>
      <c r="G30" s="14"/>
      <c r="H30" s="14"/>
    </row>
    <row r="31" spans="1:9" x14ac:dyDescent="0.3">
      <c r="A31" s="22" t="s">
        <v>45</v>
      </c>
      <c r="B31" s="22"/>
      <c r="C31" s="22"/>
      <c r="E31" s="13"/>
      <c r="F31" s="13"/>
      <c r="G31" s="13"/>
      <c r="H31" s="13"/>
    </row>
    <row r="32" spans="1:9" x14ac:dyDescent="0.3">
      <c r="A32" s="22" t="s">
        <v>19</v>
      </c>
      <c r="B32" s="22"/>
      <c r="C32" s="22"/>
      <c r="E32" s="13"/>
      <c r="F32" s="13"/>
      <c r="G32" s="13"/>
      <c r="H32" s="13"/>
    </row>
    <row r="33" spans="1:8" x14ac:dyDescent="0.3">
      <c r="A33" s="22"/>
      <c r="B33" s="22"/>
      <c r="C33" s="22"/>
      <c r="E33" s="15"/>
      <c r="F33" s="15"/>
      <c r="G33" s="15"/>
      <c r="H33" s="15"/>
    </row>
    <row r="34" spans="1:8" x14ac:dyDescent="0.3">
      <c r="A34" s="17"/>
      <c r="B34" s="17"/>
      <c r="C34" s="17"/>
      <c r="E34" s="23" t="s">
        <v>21</v>
      </c>
      <c r="F34" s="23"/>
      <c r="G34" s="23"/>
      <c r="H34" s="23"/>
    </row>
    <row r="35" spans="1:8" x14ac:dyDescent="0.3">
      <c r="A35" s="17"/>
      <c r="B35" s="17"/>
      <c r="C35" s="17"/>
      <c r="E35" s="13"/>
      <c r="F35" s="13"/>
      <c r="G35" s="13"/>
      <c r="H35" s="13"/>
    </row>
    <row r="36" spans="1:8" x14ac:dyDescent="0.3">
      <c r="A36" s="75"/>
      <c r="B36" s="75"/>
      <c r="C36" s="75"/>
      <c r="E36" s="15"/>
      <c r="F36" s="15"/>
      <c r="G36" s="15"/>
      <c r="H36" s="15"/>
    </row>
    <row r="37" spans="1:8" x14ac:dyDescent="0.3">
      <c r="A37" s="23" t="s">
        <v>20</v>
      </c>
      <c r="B37" s="23"/>
      <c r="C37" s="23"/>
      <c r="E37" s="13" t="s">
        <v>1</v>
      </c>
      <c r="F37" s="13"/>
      <c r="G37" s="13"/>
      <c r="H37" s="13"/>
    </row>
    <row r="38" spans="1:8" x14ac:dyDescent="0.3">
      <c r="A38" s="13"/>
      <c r="B38" s="13"/>
      <c r="C38" s="13"/>
      <c r="E38" s="13"/>
      <c r="F38" s="13"/>
      <c r="G38" s="13"/>
      <c r="H38" s="13"/>
    </row>
    <row r="39" spans="1:8" x14ac:dyDescent="0.3">
      <c r="A39" s="73">
        <f>H4</f>
        <v>46107</v>
      </c>
      <c r="B39" s="74"/>
      <c r="C39" s="74"/>
      <c r="E39" s="76"/>
      <c r="F39" s="77"/>
      <c r="G39" s="77"/>
      <c r="H39" s="77"/>
    </row>
    <row r="40" spans="1:8" ht="25.2" customHeight="1" x14ac:dyDescent="0.3">
      <c r="A40" s="23" t="s">
        <v>0</v>
      </c>
      <c r="B40" s="13"/>
      <c r="C40" s="13"/>
      <c r="E40" s="23" t="s">
        <v>0</v>
      </c>
      <c r="F40" s="13"/>
      <c r="G40" s="13"/>
      <c r="H40" s="13"/>
    </row>
  </sheetData>
  <mergeCells count="39">
    <mergeCell ref="F28:G28"/>
    <mergeCell ref="E8:G8"/>
    <mergeCell ref="H19:H20"/>
    <mergeCell ref="G1:H1"/>
    <mergeCell ref="E9:G9"/>
    <mergeCell ref="E11:G11"/>
    <mergeCell ref="E12:G12"/>
    <mergeCell ref="A1:F1"/>
    <mergeCell ref="A3:D3"/>
    <mergeCell ref="A4:D4"/>
    <mergeCell ref="E3:G3"/>
    <mergeCell ref="E4:G4"/>
    <mergeCell ref="E5:G5"/>
    <mergeCell ref="E6:G6"/>
    <mergeCell ref="E7:G7"/>
    <mergeCell ref="E15:G15"/>
    <mergeCell ref="A19:A20"/>
    <mergeCell ref="B19:B20"/>
    <mergeCell ref="E13:G13"/>
    <mergeCell ref="E14:G14"/>
    <mergeCell ref="A15:D15"/>
    <mergeCell ref="A16:D16"/>
    <mergeCell ref="A17:D17"/>
    <mergeCell ref="A39:C39"/>
    <mergeCell ref="A36:C36"/>
    <mergeCell ref="E39:H39"/>
    <mergeCell ref="A5:D5"/>
    <mergeCell ref="A6:D6"/>
    <mergeCell ref="A7:D7"/>
    <mergeCell ref="A28:C28"/>
    <mergeCell ref="A8:D8"/>
    <mergeCell ref="A10:D10"/>
    <mergeCell ref="E10:G10"/>
    <mergeCell ref="A11:D11"/>
    <mergeCell ref="A12:D12"/>
    <mergeCell ref="A13:D13"/>
    <mergeCell ref="A14:D14"/>
    <mergeCell ref="C19:E19"/>
    <mergeCell ref="F19:G19"/>
  </mergeCells>
  <phoneticPr fontId="11" type="noConversion"/>
  <dataValidations count="1">
    <dataValidation type="whole" operator="greaterThanOrEqual" showErrorMessage="1" errorTitle="Invalid" error="Enter a whole number ≥ 0" sqref="C21:C24 F21:F24" xr:uid="{C6D762D9-E729-416C-B9B8-C414A1A3C1A1}">
      <formula1>0</formula1>
      <formula2>0</formula2>
    </dataValidation>
  </dataValidations>
  <pageMargins left="0.7" right="0.7" top="1.542" bottom="0.75" header="0.3" footer="0.3"/>
  <pageSetup paperSize="9" scale="82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J18"/>
  <sheetViews>
    <sheetView view="pageBreakPreview" zoomScaleNormal="100" zoomScaleSheetLayoutView="100" workbookViewId="0">
      <selection activeCell="A10" sqref="A10:B10"/>
    </sheetView>
  </sheetViews>
  <sheetFormatPr defaultRowHeight="14.4" x14ac:dyDescent="0.3"/>
  <cols>
    <col min="1" max="1" width="9.6640625" customWidth="1"/>
    <col min="2" max="2" width="24.44140625" customWidth="1"/>
    <col min="3" max="3" width="7.21875" customWidth="1"/>
    <col min="4" max="4" width="14.33203125" bestFit="1" customWidth="1"/>
    <col min="5" max="5" width="19" bestFit="1" customWidth="1"/>
    <col min="6" max="7" width="14.33203125" bestFit="1" customWidth="1"/>
    <col min="8" max="8" width="13.44140625" bestFit="1" customWidth="1"/>
    <col min="9" max="9" width="13.44140625" customWidth="1"/>
    <col min="10" max="10" width="7.44140625" bestFit="1" customWidth="1"/>
    <col min="11" max="11" width="12.44140625" bestFit="1" customWidth="1"/>
    <col min="12" max="14" width="10.6640625" customWidth="1"/>
  </cols>
  <sheetData>
    <row r="1" spans="1:10" ht="19.2" x14ac:dyDescent="0.3">
      <c r="A1" s="96" t="s">
        <v>23</v>
      </c>
      <c r="B1" s="96"/>
      <c r="C1" s="96"/>
      <c r="D1" s="96"/>
      <c r="E1" s="96"/>
      <c r="F1" s="100" t="s">
        <v>71</v>
      </c>
      <c r="G1" s="100"/>
      <c r="H1" s="100"/>
      <c r="I1" s="100"/>
      <c r="J1" s="100"/>
    </row>
    <row r="2" spans="1:10" ht="1.95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x14ac:dyDescent="0.3">
      <c r="A3" s="33" t="s">
        <v>38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3">
      <c r="A4" s="33" t="s">
        <v>39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3">
      <c r="A5" s="33" t="s">
        <v>40</v>
      </c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3">
      <c r="A6" s="36" t="s">
        <v>41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ht="28.8" x14ac:dyDescent="0.3">
      <c r="A7" s="101" t="s">
        <v>16</v>
      </c>
      <c r="B7" s="101"/>
      <c r="C7" s="60" t="s">
        <v>51</v>
      </c>
      <c r="D7" s="61" t="s">
        <v>49</v>
      </c>
      <c r="E7" s="61" t="s">
        <v>48</v>
      </c>
      <c r="F7" s="61" t="s">
        <v>49</v>
      </c>
      <c r="G7" s="61" t="s">
        <v>48</v>
      </c>
      <c r="H7" s="61" t="s">
        <v>49</v>
      </c>
      <c r="I7" s="61" t="s">
        <v>48</v>
      </c>
      <c r="J7" s="62" t="s">
        <v>43</v>
      </c>
    </row>
    <row r="8" spans="1:10" x14ac:dyDescent="0.3">
      <c r="A8" s="99" t="str">
        <f>'Invoice — Region 5'!B21</f>
        <v>Wallmansthall Berlin</v>
      </c>
      <c r="B8" s="99"/>
      <c r="C8" s="57">
        <f>'Invoice — Region 5'!C21</f>
        <v>22</v>
      </c>
      <c r="D8" s="58"/>
      <c r="E8" s="58">
        <v>46091</v>
      </c>
      <c r="F8" s="58">
        <v>46094</v>
      </c>
      <c r="G8" s="58">
        <v>46098</v>
      </c>
      <c r="H8" s="58">
        <v>46101</v>
      </c>
      <c r="I8" s="58">
        <v>46105</v>
      </c>
      <c r="J8" s="57">
        <f>COUNT(D8:I8)</f>
        <v>5</v>
      </c>
    </row>
    <row r="9" spans="1:10" x14ac:dyDescent="0.3">
      <c r="A9" s="99" t="str">
        <f>'Invoice — Region 5'!B22</f>
        <v>Rayton</v>
      </c>
      <c r="B9" s="99"/>
      <c r="C9" s="57">
        <f>'Invoice — Region 5'!C22</f>
        <v>1</v>
      </c>
      <c r="D9" s="58">
        <v>46087</v>
      </c>
      <c r="E9" s="58">
        <v>46091</v>
      </c>
      <c r="F9" s="58">
        <v>46094</v>
      </c>
      <c r="G9" s="58">
        <v>46098</v>
      </c>
      <c r="H9" s="58">
        <v>46101</v>
      </c>
      <c r="I9" s="58">
        <v>46105</v>
      </c>
      <c r="J9" s="57">
        <f>COUNT(D9:I9)</f>
        <v>6</v>
      </c>
    </row>
    <row r="10" spans="1:10" x14ac:dyDescent="0.3">
      <c r="A10" s="99" t="str">
        <f>'Invoice — Region 5'!B23</f>
        <v>Pienaarspoort</v>
      </c>
      <c r="B10" s="99"/>
      <c r="C10" s="57">
        <f>'Invoice — Region 5'!C23</f>
        <v>12</v>
      </c>
      <c r="D10" s="58">
        <v>46087</v>
      </c>
      <c r="E10" s="58">
        <v>46091</v>
      </c>
      <c r="F10" s="58">
        <v>46094</v>
      </c>
      <c r="G10" s="58">
        <v>46098</v>
      </c>
      <c r="H10" s="58">
        <v>46101</v>
      </c>
      <c r="I10" s="58">
        <v>46105</v>
      </c>
      <c r="J10" s="57">
        <f>COUNT(D10:I10)</f>
        <v>6</v>
      </c>
    </row>
    <row r="11" spans="1:10" x14ac:dyDescent="0.3">
      <c r="A11" s="99"/>
      <c r="B11" s="99"/>
      <c r="C11" s="59"/>
      <c r="D11" s="58"/>
      <c r="E11" s="58"/>
      <c r="F11" s="58"/>
      <c r="G11" s="58"/>
      <c r="H11" s="58"/>
      <c r="I11" s="58"/>
      <c r="J11" s="57"/>
    </row>
    <row r="12" spans="1:10" x14ac:dyDescent="0.3">
      <c r="D12" s="38"/>
      <c r="E12" s="38"/>
      <c r="F12" s="38"/>
      <c r="G12" s="38"/>
      <c r="H12" s="38"/>
      <c r="I12" s="38"/>
      <c r="J12" s="34"/>
    </row>
    <row r="13" spans="1:10" x14ac:dyDescent="0.3">
      <c r="D13" s="38"/>
      <c r="E13" s="38"/>
      <c r="F13" s="38"/>
      <c r="G13" s="38"/>
      <c r="H13" s="38"/>
      <c r="I13" s="38"/>
      <c r="J13" s="34"/>
    </row>
    <row r="14" spans="1:10" x14ac:dyDescent="0.3">
      <c r="A14" s="77"/>
      <c r="B14" s="77"/>
      <c r="C14" s="77"/>
      <c r="D14" s="13"/>
      <c r="E14" s="77"/>
      <c r="F14" s="77"/>
      <c r="G14" s="77"/>
      <c r="H14" s="77"/>
      <c r="I14" s="13"/>
      <c r="J14" s="13"/>
    </row>
    <row r="15" spans="1:10" x14ac:dyDescent="0.3">
      <c r="A15" s="23" t="s">
        <v>20</v>
      </c>
      <c r="B15" s="23"/>
      <c r="C15" s="23"/>
      <c r="D15" s="23"/>
      <c r="E15" s="23" t="s">
        <v>21</v>
      </c>
      <c r="F15" s="23"/>
      <c r="G15" s="13"/>
      <c r="H15" s="23"/>
      <c r="I15" s="23"/>
      <c r="J15" s="23"/>
    </row>
    <row r="16" spans="1:10" x14ac:dyDescent="0.3">
      <c r="A16" s="23"/>
      <c r="B16" s="23"/>
      <c r="C16" s="23"/>
      <c r="D16" s="23"/>
      <c r="E16" s="23"/>
      <c r="F16" s="23"/>
      <c r="G16" s="13"/>
      <c r="H16" s="23"/>
      <c r="I16" s="23"/>
      <c r="J16" s="23"/>
    </row>
    <row r="17" spans="1:10" x14ac:dyDescent="0.3">
      <c r="A17" s="98">
        <v>46107</v>
      </c>
      <c r="B17" s="98"/>
      <c r="C17" s="44"/>
      <c r="D17" s="13"/>
      <c r="E17" s="77"/>
      <c r="F17" s="77"/>
      <c r="G17" s="77"/>
      <c r="H17" s="77"/>
      <c r="I17" s="13"/>
      <c r="J17" s="13"/>
    </row>
    <row r="18" spans="1:10" x14ac:dyDescent="0.3">
      <c r="A18" s="98" t="s">
        <v>42</v>
      </c>
      <c r="B18" s="98"/>
      <c r="C18" s="44"/>
      <c r="D18" s="37"/>
      <c r="E18" s="98" t="s">
        <v>42</v>
      </c>
      <c r="F18" s="98"/>
      <c r="G18" s="37"/>
      <c r="H18" s="37"/>
      <c r="I18" s="37"/>
      <c r="J18" s="37"/>
    </row>
  </sheetData>
  <mergeCells count="13">
    <mergeCell ref="A8:B8"/>
    <mergeCell ref="F1:J1"/>
    <mergeCell ref="A1:E1"/>
    <mergeCell ref="E17:H17"/>
    <mergeCell ref="E14:H14"/>
    <mergeCell ref="A9:B9"/>
    <mergeCell ref="A10:B10"/>
    <mergeCell ref="A7:B7"/>
    <mergeCell ref="E18:F18"/>
    <mergeCell ref="A17:B17"/>
    <mergeCell ref="A11:B11"/>
    <mergeCell ref="A18:B18"/>
    <mergeCell ref="A14:C14"/>
  </mergeCells>
  <phoneticPr fontId="11" type="noConversion"/>
  <pageMargins left="0.7" right="0.7" top="1.542" bottom="0.75" header="0.3" footer="0.3"/>
  <pageSetup paperSize="9" scale="95" fitToHeight="0" orientation="landscape" r:id="rId1"/>
  <headerFooter>
    <oddHeader>&amp;L&amp;"-,Bold"&amp;9SERVICE NOTES
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91D8-BA22-4F3F-9FE5-5350D5E0016A}">
  <sheetPr>
    <pageSetUpPr fitToPage="1"/>
  </sheetPr>
  <dimension ref="A1:F18"/>
  <sheetViews>
    <sheetView view="pageBreakPreview" zoomScaleNormal="100" zoomScaleSheetLayoutView="100" workbookViewId="0">
      <selection activeCell="A6" sqref="A6:B6"/>
    </sheetView>
  </sheetViews>
  <sheetFormatPr defaultRowHeight="14.4" x14ac:dyDescent="0.3"/>
  <cols>
    <col min="1" max="1" width="37.44140625" customWidth="1"/>
    <col min="2" max="2" width="8.5546875" customWidth="1"/>
    <col min="3" max="3" width="18.21875" customWidth="1"/>
    <col min="4" max="4" width="26.44140625" customWidth="1"/>
    <col min="5" max="5" width="12.44140625" bestFit="1" customWidth="1"/>
    <col min="6" max="8" width="10.6640625" customWidth="1"/>
  </cols>
  <sheetData>
    <row r="1" spans="1:5" ht="19.2" x14ac:dyDescent="0.3">
      <c r="A1" s="97" t="s">
        <v>58</v>
      </c>
      <c r="B1" s="97"/>
      <c r="C1" s="97"/>
      <c r="D1" s="97"/>
    </row>
    <row r="2" spans="1:5" ht="1.95" customHeight="1" x14ac:dyDescent="0.3">
      <c r="A2" s="9"/>
      <c r="B2" s="9"/>
      <c r="C2" s="9"/>
      <c r="D2" s="9"/>
    </row>
    <row r="3" spans="1:5" x14ac:dyDescent="0.3">
      <c r="A3" s="104" t="s">
        <v>50</v>
      </c>
      <c r="B3" s="104"/>
      <c r="C3" s="63" t="s">
        <v>51</v>
      </c>
      <c r="D3" s="63" t="s">
        <v>52</v>
      </c>
    </row>
    <row r="4" spans="1:5" x14ac:dyDescent="0.3">
      <c r="A4" s="105" t="str">
        <f>'Invoice — Region 5'!B21</f>
        <v>Wallmansthall Berlin</v>
      </c>
      <c r="B4" s="105"/>
      <c r="C4" s="64">
        <v>22</v>
      </c>
      <c r="D4" s="65" t="s">
        <v>55</v>
      </c>
    </row>
    <row r="5" spans="1:5" x14ac:dyDescent="0.3">
      <c r="A5" s="105" t="str">
        <f>'Invoice — Region 5'!B22</f>
        <v>Rayton</v>
      </c>
      <c r="B5" s="105"/>
      <c r="C5" s="59">
        <v>1</v>
      </c>
      <c r="D5" s="65" t="s">
        <v>55</v>
      </c>
    </row>
    <row r="6" spans="1:5" x14ac:dyDescent="0.3">
      <c r="A6" s="105" t="str">
        <f>'Invoice — Region 5'!B23</f>
        <v>Pienaarspoort</v>
      </c>
      <c r="B6" s="105"/>
      <c r="C6" s="59">
        <v>12</v>
      </c>
      <c r="D6" s="65" t="s">
        <v>55</v>
      </c>
    </row>
    <row r="7" spans="1:5" x14ac:dyDescent="0.3">
      <c r="A7" s="99"/>
      <c r="B7" s="99"/>
      <c r="C7" s="59"/>
      <c r="D7" s="65"/>
    </row>
    <row r="8" spans="1:5" x14ac:dyDescent="0.3">
      <c r="A8" s="106" t="s">
        <v>72</v>
      </c>
      <c r="B8" s="106"/>
      <c r="C8" s="66">
        <f>SUM(C4:C6)</f>
        <v>35</v>
      </c>
      <c r="D8" s="65"/>
    </row>
    <row r="9" spans="1:5" x14ac:dyDescent="0.3">
      <c r="A9" s="99"/>
      <c r="B9" s="99"/>
      <c r="C9" s="56"/>
      <c r="D9" s="64"/>
    </row>
    <row r="10" spans="1:5" x14ac:dyDescent="0.3">
      <c r="A10" s="13"/>
      <c r="B10" s="13"/>
      <c r="C10" s="103"/>
      <c r="D10" s="103"/>
    </row>
    <row r="11" spans="1:5" x14ac:dyDescent="0.3">
      <c r="A11" s="23" t="s">
        <v>53</v>
      </c>
      <c r="B11" s="23"/>
      <c r="C11" s="102" t="s">
        <v>21</v>
      </c>
      <c r="D11" s="102"/>
    </row>
    <row r="12" spans="1:5" x14ac:dyDescent="0.3">
      <c r="A12" s="13"/>
      <c r="B12" s="13"/>
      <c r="C12" s="103"/>
      <c r="D12" s="103"/>
      <c r="E12" s="32"/>
    </row>
    <row r="13" spans="1:5" ht="24" customHeight="1" x14ac:dyDescent="0.3">
      <c r="A13" s="15" t="e" vm="1">
        <v>#VALUE!</v>
      </c>
      <c r="B13" s="13"/>
      <c r="C13" s="77"/>
      <c r="D13" s="77"/>
      <c r="E13" s="32"/>
    </row>
    <row r="14" spans="1:5" x14ac:dyDescent="0.3">
      <c r="A14" s="13" t="s">
        <v>54</v>
      </c>
      <c r="B14" s="13"/>
      <c r="C14" s="103" t="s">
        <v>54</v>
      </c>
      <c r="D14" s="103"/>
    </row>
    <row r="15" spans="1:5" x14ac:dyDescent="0.3">
      <c r="A15" s="13"/>
      <c r="B15" s="13"/>
      <c r="C15" s="103"/>
      <c r="D15" s="103"/>
    </row>
    <row r="16" spans="1:5" ht="28.2" customHeight="1" x14ac:dyDescent="0.3">
      <c r="A16" s="41">
        <v>46107</v>
      </c>
      <c r="B16" s="42"/>
      <c r="C16" s="76"/>
      <c r="D16" s="76"/>
    </row>
    <row r="17" spans="1:6" x14ac:dyDescent="0.3">
      <c r="A17" s="23" t="s">
        <v>42</v>
      </c>
      <c r="B17" s="23"/>
      <c r="C17" s="102" t="s">
        <v>42</v>
      </c>
      <c r="D17" s="102"/>
      <c r="F17" s="6"/>
    </row>
    <row r="18" spans="1:6" x14ac:dyDescent="0.3">
      <c r="A18" s="23"/>
      <c r="B18" s="23"/>
      <c r="C18" s="23"/>
      <c r="D18" s="23"/>
    </row>
  </sheetData>
  <mergeCells count="16">
    <mergeCell ref="A9:B9"/>
    <mergeCell ref="C16:D16"/>
    <mergeCell ref="C17:D17"/>
    <mergeCell ref="A1:D1"/>
    <mergeCell ref="C10:D10"/>
    <mergeCell ref="C11:D11"/>
    <mergeCell ref="C12:D12"/>
    <mergeCell ref="C13:D13"/>
    <mergeCell ref="C14:D14"/>
    <mergeCell ref="C15:D15"/>
    <mergeCell ref="A3:B3"/>
    <mergeCell ref="A4:B4"/>
    <mergeCell ref="A5:B5"/>
    <mergeCell ref="A6:B6"/>
    <mergeCell ref="A7:B7"/>
    <mergeCell ref="A8:B8"/>
  </mergeCells>
  <pageMargins left="0.7" right="0.7" top="1.542" bottom="0.75" header="0.3" footer="0.3"/>
  <pageSetup paperSize="9" scale="96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9FC0-82A8-4134-8CA5-56B4AA40BE03}">
  <sheetPr>
    <pageSetUpPr fitToPage="1"/>
  </sheetPr>
  <dimension ref="A1:H18"/>
  <sheetViews>
    <sheetView view="pageBreakPreview" zoomScaleNormal="100" zoomScaleSheetLayoutView="100" workbookViewId="0">
      <selection activeCell="E24" sqref="E24"/>
    </sheetView>
  </sheetViews>
  <sheetFormatPr defaultRowHeight="14.4" x14ac:dyDescent="0.3"/>
  <cols>
    <col min="1" max="1" width="25" bestFit="1" customWidth="1"/>
    <col min="2" max="2" width="19.21875" customWidth="1"/>
    <col min="3" max="3" width="5.44140625" customWidth="1"/>
    <col min="4" max="4" width="26.77734375" customWidth="1"/>
    <col min="5" max="5" width="18.21875" customWidth="1"/>
    <col min="6" max="6" width="12.44140625" bestFit="1" customWidth="1"/>
    <col min="7" max="7" width="10.6640625" customWidth="1"/>
    <col min="8" max="8" width="12.44140625" bestFit="1" customWidth="1"/>
    <col min="9" max="9" width="10.6640625" customWidth="1"/>
  </cols>
  <sheetData>
    <row r="1" spans="1:8" ht="19.2" x14ac:dyDescent="0.3">
      <c r="A1" s="97" t="s">
        <v>59</v>
      </c>
      <c r="B1" s="97"/>
      <c r="C1" s="97"/>
      <c r="D1" s="97"/>
      <c r="E1" s="97"/>
    </row>
    <row r="2" spans="1:8" ht="1.95" customHeight="1" x14ac:dyDescent="0.3">
      <c r="A2" s="9"/>
      <c r="B2" s="9"/>
      <c r="C2" s="9"/>
      <c r="D2" s="9"/>
      <c r="E2" s="9"/>
    </row>
    <row r="3" spans="1:8" ht="15.6" x14ac:dyDescent="0.3">
      <c r="A3" s="67" t="s">
        <v>60</v>
      </c>
      <c r="B3" s="108" t="s">
        <v>61</v>
      </c>
      <c r="C3" s="108"/>
      <c r="D3" s="67" t="s">
        <v>62</v>
      </c>
      <c r="E3" s="67" t="s">
        <v>63</v>
      </c>
      <c r="F3" s="43"/>
    </row>
    <row r="4" spans="1:8" x14ac:dyDescent="0.3">
      <c r="A4" s="68" t="s">
        <v>64</v>
      </c>
      <c r="B4" s="109">
        <v>6409065284082</v>
      </c>
      <c r="C4" s="109"/>
      <c r="D4" s="68" t="str">
        <f>UPPER('Invoice — Region 5'!B21)</f>
        <v>WALLMANSTHALL BERLIN</v>
      </c>
      <c r="E4" s="68" t="s">
        <v>65</v>
      </c>
    </row>
    <row r="5" spans="1:8" x14ac:dyDescent="0.3">
      <c r="A5" s="69" t="s">
        <v>66</v>
      </c>
      <c r="B5" s="110">
        <v>9507181286084</v>
      </c>
      <c r="C5" s="110"/>
      <c r="D5" s="69" t="str">
        <f>D4</f>
        <v>WALLMANSTHALL BERLIN</v>
      </c>
      <c r="E5" s="70" t="s">
        <v>67</v>
      </c>
    </row>
    <row r="6" spans="1:8" x14ac:dyDescent="0.3">
      <c r="A6" s="71" t="s">
        <v>68</v>
      </c>
      <c r="B6" s="111">
        <v>9706615300087</v>
      </c>
      <c r="C6" s="111"/>
      <c r="D6" s="71" t="str">
        <f>D5</f>
        <v>WALLMANSTHALL BERLIN</v>
      </c>
      <c r="E6" s="70" t="s">
        <v>67</v>
      </c>
    </row>
    <row r="7" spans="1:8" x14ac:dyDescent="0.3">
      <c r="A7" s="71" t="s">
        <v>69</v>
      </c>
      <c r="B7" s="111">
        <v>7407055418081</v>
      </c>
      <c r="C7" s="111"/>
      <c r="D7" s="71" t="s">
        <v>75</v>
      </c>
      <c r="E7" s="70" t="s">
        <v>65</v>
      </c>
    </row>
    <row r="8" spans="1:8" x14ac:dyDescent="0.3">
      <c r="A8" s="71" t="s">
        <v>70</v>
      </c>
      <c r="B8" s="111">
        <v>8811180906085</v>
      </c>
      <c r="C8" s="111"/>
      <c r="D8" s="71" t="s">
        <v>75</v>
      </c>
      <c r="E8" s="70" t="s">
        <v>67</v>
      </c>
    </row>
    <row r="9" spans="1:8" x14ac:dyDescent="0.3">
      <c r="A9" s="71"/>
      <c r="B9" s="112"/>
      <c r="C9" s="112"/>
      <c r="D9" s="71"/>
      <c r="E9" s="72"/>
    </row>
    <row r="10" spans="1:8" x14ac:dyDescent="0.3">
      <c r="A10" s="13"/>
      <c r="B10" s="13"/>
      <c r="C10" s="13"/>
      <c r="D10" s="103"/>
      <c r="E10" s="103"/>
    </row>
    <row r="11" spans="1:8" x14ac:dyDescent="0.3">
      <c r="A11" s="23" t="s">
        <v>53</v>
      </c>
      <c r="B11" s="23"/>
      <c r="C11" s="23"/>
      <c r="D11" s="102" t="s">
        <v>21</v>
      </c>
      <c r="E11" s="102"/>
    </row>
    <row r="12" spans="1:8" x14ac:dyDescent="0.3">
      <c r="A12" s="13"/>
      <c r="B12" s="13"/>
      <c r="C12" s="13"/>
      <c r="D12" s="103"/>
      <c r="E12" s="103"/>
      <c r="F12" s="32"/>
      <c r="H12" t="s">
        <v>74</v>
      </c>
    </row>
    <row r="13" spans="1:8" ht="24" customHeight="1" x14ac:dyDescent="0.3">
      <c r="A13" s="77" t="e" vm="1">
        <v>#VALUE!</v>
      </c>
      <c r="B13" s="77"/>
      <c r="C13" s="13"/>
      <c r="D13" s="77"/>
      <c r="E13" s="77"/>
      <c r="F13" s="32"/>
    </row>
    <row r="14" spans="1:8" x14ac:dyDescent="0.3">
      <c r="A14" s="13" t="s">
        <v>54</v>
      </c>
      <c r="B14" s="13"/>
      <c r="C14" s="13"/>
      <c r="D14" s="103" t="s">
        <v>54</v>
      </c>
      <c r="E14" s="103"/>
    </row>
    <row r="15" spans="1:8" x14ac:dyDescent="0.3">
      <c r="A15" s="13"/>
      <c r="B15" s="13"/>
      <c r="C15" s="13"/>
      <c r="D15" s="103"/>
      <c r="E15" s="103"/>
    </row>
    <row r="16" spans="1:8" ht="28.2" customHeight="1" x14ac:dyDescent="0.3">
      <c r="A16" s="107">
        <v>46107</v>
      </c>
      <c r="B16" s="107"/>
      <c r="C16" s="42"/>
      <c r="D16" s="76"/>
      <c r="E16" s="76"/>
    </row>
    <row r="17" spans="1:7" x14ac:dyDescent="0.3">
      <c r="A17" s="23" t="s">
        <v>42</v>
      </c>
      <c r="B17" s="23"/>
      <c r="C17" s="23"/>
      <c r="D17" s="102" t="s">
        <v>42</v>
      </c>
      <c r="E17" s="102"/>
      <c r="G17" s="6"/>
    </row>
    <row r="18" spans="1:7" x14ac:dyDescent="0.3">
      <c r="A18" s="23"/>
      <c r="B18" s="23"/>
      <c r="C18" s="23"/>
      <c r="D18" s="23"/>
      <c r="E18" s="23"/>
    </row>
  </sheetData>
  <mergeCells count="18">
    <mergeCell ref="A1:E1"/>
    <mergeCell ref="D10:E10"/>
    <mergeCell ref="D11:E11"/>
    <mergeCell ref="D12:E12"/>
    <mergeCell ref="D13:E13"/>
    <mergeCell ref="B3:C3"/>
    <mergeCell ref="B4:C4"/>
    <mergeCell ref="B5:C5"/>
    <mergeCell ref="B6:C6"/>
    <mergeCell ref="B7:C7"/>
    <mergeCell ref="B8:C8"/>
    <mergeCell ref="B9:C9"/>
    <mergeCell ref="D15:E15"/>
    <mergeCell ref="D16:E16"/>
    <mergeCell ref="D17:E17"/>
    <mergeCell ref="A16:B16"/>
    <mergeCell ref="A13:B13"/>
    <mergeCell ref="D14:E14"/>
  </mergeCells>
  <pageMargins left="0.7" right="0.7" top="1.542" bottom="0.75" header="0.3" footer="0.3"/>
  <pageSetup paperSize="9" scale="92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7A508E1-F889-4FB4-81BC-717A64C59A25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e1fb217-3513-4a84-b39a-87d8fab7c42d"/>
    <ds:schemaRef ds:uri="f62d4ef4-b04a-4b31-a502-7b4d1ae74549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— Region 5</vt:lpstr>
      <vt:lpstr>Service Notes</vt:lpstr>
      <vt:lpstr>Clearning Schedule</vt:lpstr>
      <vt:lpstr>Employee List</vt:lpstr>
      <vt:lpstr>'Clearning Schedule'!Print_Area</vt:lpstr>
      <vt:lpstr>'Employee List'!Print_Area</vt:lpstr>
      <vt:lpstr>'Invoice — Region 5'!Print_Area</vt:lpstr>
      <vt:lpstr>'Service Notes'!Print_Area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Admin</cp:lastModifiedBy>
  <cp:revision/>
  <cp:lastPrinted>2026-04-23T13:35:45Z</cp:lastPrinted>
  <dcterms:created xsi:type="dcterms:W3CDTF">2015-06-05T18:17:20Z</dcterms:created>
  <dcterms:modified xsi:type="dcterms:W3CDTF">2026-04-28T14:10:52Z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