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sithembe.sharepoint.com/sites/accounting9/Shared Documents/02 - Projects/01 Invoices/01 STP/03 March/03 - HS 02 2025-26/"/>
    </mc:Choice>
  </mc:AlternateContent>
  <xr:revisionPtr revIDLastSave="186" documentId="8_{0385A227-0654-4434-8BE3-6650CFEC1805}" xr6:coauthVersionLast="47" xr6:coauthVersionMax="47" xr10:uidLastSave="{702A295D-B3E8-4502-99B6-8393F9EB811A}"/>
  <bookViews>
    <workbookView xWindow="-108" yWindow="-108" windowWidth="23256" windowHeight="13896" tabRatio="870" xr2:uid="{00000000-000D-0000-FFFF-FFFF00000000}"/>
  </bookViews>
  <sheets>
    <sheet name="Invoice — Region 5" sheetId="14" r:id="rId1"/>
    <sheet name="Service Notes" sheetId="23" r:id="rId2"/>
    <sheet name="EPWP Employees" sheetId="26" r:id="rId3"/>
    <sheet name="Toilet Co-ordinates" sheetId="28" r:id="rId4"/>
  </sheets>
  <definedNames>
    <definedName name="_xlnm.Print_Area" localSheetId="2">'EPWP Employees'!$A$1:$D$16</definedName>
    <definedName name="_xlnm.Print_Area" localSheetId="0">'Invoice — Region 5'!$A$1:$K$57</definedName>
    <definedName name="_xlnm.Print_Area" localSheetId="1">'Service Notes'!$A$1:$AH$35</definedName>
    <definedName name="_xlnm.Print_Area" localSheetId="3">'Toilet Co-ordinates'!$A$1:$L$75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4" i="23" l="1"/>
  <c r="I22" i="14" s="1"/>
  <c r="AH15" i="23"/>
  <c r="AH13" i="23"/>
  <c r="I21" i="14" s="1"/>
  <c r="I23" i="14"/>
  <c r="D37" i="14"/>
  <c r="AC8" i="23"/>
  <c r="AC7" i="23"/>
  <c r="AC3" i="23"/>
  <c r="A14" i="23"/>
  <c r="A15" i="23"/>
  <c r="A13" i="23"/>
  <c r="E37" i="14"/>
  <c r="F22" i="14"/>
  <c r="F23" i="14"/>
  <c r="F21" i="14"/>
  <c r="K4" i="14"/>
  <c r="K6" i="14" s="1"/>
  <c r="J35" i="14"/>
  <c r="H35" i="14"/>
  <c r="G35" i="14"/>
  <c r="AC4" i="23" l="1"/>
  <c r="A27" i="23" s="1"/>
  <c r="K5" i="14"/>
  <c r="AC5" i="23" s="1"/>
  <c r="G21" i="14"/>
  <c r="F37" i="14"/>
  <c r="A49" i="14"/>
  <c r="AC6" i="23" l="1"/>
  <c r="H21" i="14"/>
  <c r="H22" i="14"/>
  <c r="H23" i="14"/>
  <c r="G23" i="14"/>
  <c r="G22" i="14"/>
  <c r="H37" i="14" l="1"/>
  <c r="J21" i="14" l="1"/>
  <c r="K21" i="14" s="1"/>
  <c r="J22" i="14"/>
  <c r="K22" i="14" s="1"/>
  <c r="J23" i="14" l="1"/>
  <c r="K23" i="14" s="1"/>
  <c r="J37" i="14" l="1"/>
  <c r="K37" i="14" s="1"/>
  <c r="K38" i="14" s="1"/>
  <c r="K39" i="14" s="1"/>
  <c r="L37" i="14"/>
</calcChain>
</file>

<file path=xl/sharedStrings.xml><?xml version="1.0" encoding="utf-8"?>
<sst xmlns="http://schemas.openxmlformats.org/spreadsheetml/2006/main" count="123" uniqueCount="78">
  <si>
    <t>Date:</t>
  </si>
  <si>
    <t>Signature:</t>
  </si>
  <si>
    <t>Tel: 012 880 3155  |  Cell: 073 124 1535  |  Fax: 086 603 7935</t>
  </si>
  <si>
    <t>Invoice Date:</t>
  </si>
  <si>
    <t>Service Period:</t>
  </si>
  <si>
    <t>PO Number:</t>
  </si>
  <si>
    <t>Tax Invoice No:</t>
  </si>
  <si>
    <t>BILL TO:</t>
  </si>
  <si>
    <t>City of Tshwane Metropolitan Municipality</t>
  </si>
  <si>
    <t>Region:</t>
  </si>
  <si>
    <t>Days in Period:</t>
  </si>
  <si>
    <t>Isivuno House, 330 Madiba Street</t>
  </si>
  <si>
    <t>Hire Rate (excl VAT):</t>
  </si>
  <si>
    <t>#</t>
  </si>
  <si>
    <t>Ward
No</t>
  </si>
  <si>
    <t>Qty
(Units)</t>
  </si>
  <si>
    <t>Days in
Period</t>
  </si>
  <si>
    <t>Rental Amount
(excl VAT)</t>
  </si>
  <si>
    <t>No of
Services</t>
  </si>
  <si>
    <t>Service Amount
(excl VAT)</t>
  </si>
  <si>
    <t>BANKING DETAILS</t>
  </si>
  <si>
    <t>VAT @ 15%</t>
  </si>
  <si>
    <t>SERVICE</t>
  </si>
  <si>
    <t>SUB TOTALS</t>
  </si>
  <si>
    <t>TOWNSHIP / INFORMAL SETTLEMENT</t>
  </si>
  <si>
    <t>Account Holder: Sithembe Transportation and Projects (Pty) Ltd</t>
  </si>
  <si>
    <t>Bank: Nedbank Limited</t>
  </si>
  <si>
    <t>Account No: 1323687157</t>
  </si>
  <si>
    <t>Branch Code: 198765</t>
  </si>
  <si>
    <t>Service Provider Signature:</t>
  </si>
  <si>
    <t>City of Tshwane Official:</t>
  </si>
  <si>
    <t>Reg No: 2013/029173/07 |  www.sithembe.co.za</t>
  </si>
  <si>
    <t>SITHEMBE TRANSPORTATION &amp; PROJECTS</t>
  </si>
  <si>
    <t>Project Manager</t>
  </si>
  <si>
    <t>Service Rate (excl VAT):</t>
  </si>
  <si>
    <t>Sub Totals</t>
  </si>
  <si>
    <t>Gross Total</t>
  </si>
  <si>
    <t>Human Settlements &amp; Operations and Coordination Deptment</t>
  </si>
  <si>
    <t>PO Box 440, Pretoria, 0001</t>
  </si>
  <si>
    <t>Email: accounts@sithembe.co.za  |  info@sithembe.co.za</t>
  </si>
  <si>
    <r>
      <t xml:space="preserve">VAT No: </t>
    </r>
    <r>
      <rPr>
        <b/>
        <sz val="8"/>
        <color rgb="FF7F8C8D"/>
        <rFont val="Arial"/>
        <family val="2"/>
      </rPr>
      <t>4000142267</t>
    </r>
    <r>
      <rPr>
        <sz val="8"/>
        <color rgb="FF7F8C8D"/>
        <rFont val="Arial"/>
        <family val="2"/>
      </rPr>
      <t xml:space="preserve"> | Vendor No: </t>
    </r>
    <r>
      <rPr>
        <b/>
        <sz val="8"/>
        <color rgb="FF7F8C8D"/>
        <rFont val="Arial"/>
        <family val="2"/>
      </rPr>
      <t>101776</t>
    </r>
  </si>
  <si>
    <t xml:space="preserve">Contract Ref: HHS 02-2021/22 </t>
  </si>
  <si>
    <t>Toilet Relocation</t>
  </si>
  <si>
    <t>Relocation Rate (excl VAT)</t>
  </si>
  <si>
    <t>Relocation Amount (excl VAT)</t>
  </si>
  <si>
    <t>RENTALS &amp; RELOCATIONS</t>
  </si>
  <si>
    <t>LOCATION</t>
  </si>
  <si>
    <t>TOTAL</t>
  </si>
  <si>
    <t>Project Manager: Ms. Thokozile Maluka</t>
  </si>
  <si>
    <t>FULLNAME</t>
  </si>
  <si>
    <t>ID NUMBER</t>
  </si>
  <si>
    <t>POSITION</t>
  </si>
  <si>
    <t>EPWP Employee List</t>
  </si>
  <si>
    <t>Tax Invoice</t>
  </si>
  <si>
    <t>Service Notes</t>
  </si>
  <si>
    <t>TOILET No</t>
  </si>
  <si>
    <t>CO-ORDINATES</t>
  </si>
  <si>
    <t>Toilet Co-ordinates</t>
  </si>
  <si>
    <t>Region 5</t>
  </si>
  <si>
    <t>Mr Johaness</t>
  </si>
  <si>
    <t>Thembinkosi Magagula</t>
  </si>
  <si>
    <t>Piernaarspoort and Rayton</t>
  </si>
  <si>
    <t>Promise Lehlae</t>
  </si>
  <si>
    <t>8811180906085</t>
  </si>
  <si>
    <t>David Tswai</t>
  </si>
  <si>
    <t>6409065284082</t>
  </si>
  <si>
    <t>Wallmansthall Berlin</t>
  </si>
  <si>
    <t>7407065418081</t>
  </si>
  <si>
    <t>Ntombizodwa Mahlngu</t>
  </si>
  <si>
    <t>Brandy Mothwa</t>
  </si>
  <si>
    <t>9306230272082</t>
  </si>
  <si>
    <t>9706151300087</t>
  </si>
  <si>
    <t>Rayton</t>
  </si>
  <si>
    <t>Piernaarspoort</t>
  </si>
  <si>
    <t>Coordinator</t>
  </si>
  <si>
    <t>Cleaner</t>
  </si>
  <si>
    <t>STP/INV/26/0331</t>
  </si>
  <si>
    <t xml:space="preserve">Tel: 012 880 3155  |  Cell: 073 124 1535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</si>
</sst>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&quot;* #,##0.00_-;\-&quot;R&quot;* #,##0.00_-;_-&quot;R&quot;* &quot;-&quot;??_-;_-@_-"/>
    <numFmt numFmtId="164" formatCode="[$R-1C09]#,##0.00"/>
    <numFmt numFmtId="165" formatCode="_-[$R-1C09]* #,##0.00_-;\-[$R-1C09]* #,##0.00_-;_-[$R-1C09]* &quot;-&quot;??_-;_-@_-"/>
    <numFmt numFmtId="166" formatCode="[$-1C09]dd/mmmm/yyyy;@"/>
  </numFmts>
  <fonts count="4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5"/>
      <color rgb="FFFFFFFF"/>
      <name val="Arial"/>
      <family val="2"/>
    </font>
    <font>
      <b/>
      <sz val="8"/>
      <color rgb="FFFFFFFF"/>
      <name val="Arial"/>
      <family val="2"/>
    </font>
    <font>
      <sz val="8"/>
      <color rgb="FF7F8C8D"/>
      <name val="Arial"/>
      <family val="2"/>
    </font>
    <font>
      <sz val="8"/>
      <name val="Calibri"/>
      <family val="2"/>
      <scheme val="minor"/>
    </font>
    <font>
      <sz val="9"/>
      <color rgb="FF1C2833"/>
      <name val="Arial"/>
      <family val="2"/>
    </font>
    <font>
      <sz val="8"/>
      <color rgb="FF008000"/>
      <name val="Arial"/>
      <family val="2"/>
    </font>
    <font>
      <sz val="8"/>
      <color rgb="FF000000"/>
      <name val="Arial"/>
      <family val="2"/>
    </font>
    <font>
      <sz val="9"/>
      <color rgb="FF1A5276"/>
      <name val="Arial"/>
      <family val="2"/>
    </font>
    <font>
      <sz val="9"/>
      <color rgb="FF008000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i/>
      <sz val="8"/>
      <color rgb="FF7F8C8D"/>
      <name val="Arial"/>
      <family val="2"/>
    </font>
    <font>
      <b/>
      <sz val="10"/>
      <color rgb="FFFFFFFF"/>
      <name val="Arial"/>
      <family val="2"/>
    </font>
    <font>
      <b/>
      <sz val="10"/>
      <color theme="0"/>
      <name val="Calibri"/>
      <family val="2"/>
      <scheme val="minor"/>
    </font>
    <font>
      <b/>
      <sz val="8"/>
      <color theme="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8"/>
      <color rgb="FF000000"/>
      <name val="Arial"/>
      <family val="2"/>
    </font>
    <font>
      <b/>
      <sz val="18"/>
      <color theme="0"/>
      <name val="Arial"/>
      <family val="2"/>
    </font>
    <font>
      <b/>
      <sz val="8"/>
      <color theme="1" tint="0.249977111117893"/>
      <name val="Arial"/>
      <family val="2"/>
    </font>
    <font>
      <b/>
      <sz val="15"/>
      <color rgb="FFFFFFFF"/>
      <name val="Arial"/>
      <family val="2"/>
    </font>
    <font>
      <b/>
      <sz val="10"/>
      <color rgb="FFE8820C"/>
      <name val="Arial"/>
      <family val="2"/>
    </font>
    <font>
      <sz val="9"/>
      <color theme="0" tint="-0.499984740745262"/>
      <name val="Arial"/>
      <family val="2"/>
    </font>
    <font>
      <b/>
      <sz val="8"/>
      <color rgb="FF7F8C8D"/>
      <name val="Arial"/>
      <family val="2"/>
    </font>
    <font>
      <i/>
      <sz val="10"/>
      <color rgb="FF7F8C8D"/>
      <name val="Arial"/>
      <family val="2"/>
    </font>
    <font>
      <b/>
      <sz val="8"/>
      <name val="Arial"/>
      <family val="2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Arial"/>
      <family val="2"/>
    </font>
    <font>
      <i/>
      <sz val="8"/>
      <name val="Arial"/>
      <family val="2"/>
    </font>
    <font>
      <sz val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E8820C"/>
        <bgColor rgb="FFFF6600"/>
      </patternFill>
    </fill>
    <fill>
      <patternFill patternType="solid">
        <fgColor rgb="FFFFFFFF"/>
        <bgColor rgb="FFFFFDE7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1C2833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/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152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right"/>
    </xf>
    <xf numFmtId="165" fontId="1" fillId="0" borderId="0" xfId="0" applyNumberFormat="1" applyFont="1"/>
    <xf numFmtId="0" fontId="5" fillId="0" borderId="0" xfId="0" applyFont="1"/>
    <xf numFmtId="165" fontId="0" fillId="0" borderId="0" xfId="0" applyNumberFormat="1"/>
    <xf numFmtId="164" fontId="0" fillId="0" borderId="0" xfId="0" applyNumberFormat="1"/>
    <xf numFmtId="0" fontId="5" fillId="0" borderId="0" xfId="0" applyFont="1" applyAlignment="1">
      <alignment horizontal="left"/>
    </xf>
    <xf numFmtId="0" fontId="0" fillId="0" borderId="0" xfId="0" quotePrefix="1"/>
    <xf numFmtId="0" fontId="0" fillId="2" borderId="0" xfId="0" applyFill="1"/>
    <xf numFmtId="0" fontId="14" fillId="3" borderId="2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left" vertical="center"/>
    </xf>
    <xf numFmtId="1" fontId="15" fillId="3" borderId="2" xfId="0" applyNumberFormat="1" applyFont="1" applyFill="1" applyBorder="1" applyAlignment="1">
      <alignment horizontal="center" vertical="center"/>
    </xf>
    <xf numFmtId="1" fontId="16" fillId="3" borderId="2" xfId="0" applyNumberFormat="1" applyFont="1" applyFill="1" applyBorder="1" applyAlignment="1">
      <alignment horizontal="center" vertical="center"/>
    </xf>
    <xf numFmtId="4" fontId="17" fillId="3" borderId="2" xfId="0" applyNumberFormat="1" applyFont="1" applyFill="1" applyBorder="1" applyAlignment="1">
      <alignment horizontal="right" vertical="center"/>
    </xf>
    <xf numFmtId="4" fontId="18" fillId="3" borderId="2" xfId="0" applyNumberFormat="1" applyFont="1" applyFill="1" applyBorder="1" applyAlignment="1">
      <alignment horizontal="right" vertical="center"/>
    </xf>
    <xf numFmtId="0" fontId="15" fillId="3" borderId="2" xfId="0" applyFont="1" applyFill="1" applyBorder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14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0" fontId="12" fillId="0" borderId="2" xfId="0" applyFont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1" fontId="16" fillId="0" borderId="2" xfId="0" applyNumberFormat="1" applyFont="1" applyBorder="1" applyAlignment="1">
      <alignment horizontal="center" vertical="center"/>
    </xf>
    <xf numFmtId="4" fontId="17" fillId="0" borderId="2" xfId="0" applyNumberFormat="1" applyFont="1" applyBorder="1" applyAlignment="1">
      <alignment horizontal="right" vertical="center"/>
    </xf>
    <xf numFmtId="4" fontId="18" fillId="0" borderId="2" xfId="0" applyNumberFormat="1" applyFont="1" applyBorder="1" applyAlignment="1">
      <alignment horizontal="right" vertical="center"/>
    </xf>
    <xf numFmtId="0" fontId="15" fillId="0" borderId="2" xfId="0" applyFont="1" applyBorder="1" applyAlignment="1">
      <alignment horizontal="left" vertical="center"/>
    </xf>
    <xf numFmtId="0" fontId="15" fillId="0" borderId="2" xfId="0" applyFont="1" applyBorder="1" applyAlignment="1">
      <alignment horizontal="center" vertical="center"/>
    </xf>
    <xf numFmtId="0" fontId="13" fillId="0" borderId="0" xfId="0" applyFont="1" applyAlignment="1">
      <alignment horizontal="right" vertical="center"/>
    </xf>
    <xf numFmtId="44" fontId="1" fillId="0" borderId="0" xfId="0" applyNumberFormat="1" applyFont="1"/>
    <xf numFmtId="0" fontId="19" fillId="0" borderId="0" xfId="0" applyFont="1"/>
    <xf numFmtId="0" fontId="20" fillId="0" borderId="0" xfId="0" applyFont="1" applyAlignment="1">
      <alignment vertical="center"/>
    </xf>
    <xf numFmtId="0" fontId="19" fillId="0" borderId="1" xfId="0" applyFont="1" applyBorder="1"/>
    <xf numFmtId="0" fontId="26" fillId="0" borderId="0" xfId="0" applyFont="1"/>
    <xf numFmtId="0" fontId="28" fillId="0" borderId="0" xfId="0" applyFont="1" applyAlignment="1">
      <alignment vertical="center"/>
    </xf>
    <xf numFmtId="0" fontId="24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166" fontId="24" fillId="0" borderId="0" xfId="0" applyNumberFormat="1" applyFont="1" applyAlignment="1">
      <alignment horizontal="right" vertical="center"/>
    </xf>
    <xf numFmtId="0" fontId="24" fillId="0" borderId="0" xfId="0" quotePrefix="1" applyFont="1" applyAlignment="1">
      <alignment horizontal="right" vertical="center"/>
    </xf>
    <xf numFmtId="0" fontId="30" fillId="0" borderId="0" xfId="0" applyFont="1" applyAlignment="1">
      <alignment horizontal="left" vertical="center"/>
    </xf>
    <xf numFmtId="0" fontId="30" fillId="0" borderId="0" xfId="0" applyFont="1" applyAlignment="1">
      <alignment vertical="center"/>
    </xf>
    <xf numFmtId="0" fontId="19" fillId="0" borderId="0" xfId="0" applyFont="1" applyAlignment="1">
      <alignment vertical="top"/>
    </xf>
    <xf numFmtId="0" fontId="14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12" fillId="0" borderId="3" xfId="0" applyFont="1" applyBorder="1" applyAlignment="1">
      <alignment horizontal="center" vertical="center"/>
    </xf>
    <xf numFmtId="1" fontId="15" fillId="0" borderId="3" xfId="0" applyNumberFormat="1" applyFont="1" applyBorder="1" applyAlignment="1">
      <alignment horizontal="center" vertical="center"/>
    </xf>
    <xf numFmtId="1" fontId="16" fillId="0" borderId="3" xfId="0" applyNumberFormat="1" applyFont="1" applyBorder="1" applyAlignment="1">
      <alignment horizontal="center" vertical="center"/>
    </xf>
    <xf numFmtId="44" fontId="17" fillId="0" borderId="3" xfId="1" applyFont="1" applyFill="1" applyBorder="1" applyAlignment="1">
      <alignment horizontal="right" vertical="center"/>
    </xf>
    <xf numFmtId="44" fontId="18" fillId="0" borderId="3" xfId="1" applyFont="1" applyFill="1" applyBorder="1" applyAlignment="1">
      <alignment horizontal="right" vertical="center"/>
    </xf>
    <xf numFmtId="0" fontId="22" fillId="4" borderId="8" xfId="0" applyFont="1" applyFill="1" applyBorder="1" applyAlignment="1">
      <alignment horizontal="center" vertical="center" wrapText="1"/>
    </xf>
    <xf numFmtId="0" fontId="25" fillId="4" borderId="0" xfId="0" applyFont="1" applyFill="1"/>
    <xf numFmtId="0" fontId="7" fillId="4" borderId="0" xfId="0" applyFont="1" applyFill="1"/>
    <xf numFmtId="1" fontId="7" fillId="4" borderId="10" xfId="0" applyNumberFormat="1" applyFont="1" applyFill="1" applyBorder="1"/>
    <xf numFmtId="0" fontId="7" fillId="4" borderId="10" xfId="0" applyFont="1" applyFill="1" applyBorder="1"/>
    <xf numFmtId="44" fontId="7" fillId="4" borderId="10" xfId="1" applyFont="1" applyFill="1" applyBorder="1"/>
    <xf numFmtId="44" fontId="7" fillId="4" borderId="10" xfId="0" applyNumberFormat="1" applyFont="1" applyFill="1" applyBorder="1"/>
    <xf numFmtId="44" fontId="27" fillId="6" borderId="10" xfId="0" applyNumberFormat="1" applyFont="1" applyFill="1" applyBorder="1"/>
    <xf numFmtId="0" fontId="23" fillId="0" borderId="0" xfId="0" applyFont="1" applyAlignment="1">
      <alignment horizontal="right" vertical="center"/>
    </xf>
    <xf numFmtId="0" fontId="29" fillId="5" borderId="0" xfId="0" applyFont="1" applyFill="1" applyAlignment="1">
      <alignment horizontal="right" vertical="center"/>
    </xf>
    <xf numFmtId="0" fontId="20" fillId="5" borderId="0" xfId="0" applyFont="1" applyFill="1" applyAlignment="1">
      <alignment vertical="center"/>
    </xf>
    <xf numFmtId="0" fontId="31" fillId="5" borderId="0" xfId="0" applyFont="1" applyFill="1" applyAlignment="1">
      <alignment vertical="center"/>
    </xf>
    <xf numFmtId="0" fontId="35" fillId="0" borderId="0" xfId="0" applyFont="1"/>
    <xf numFmtId="44" fontId="15" fillId="0" borderId="3" xfId="1" applyFont="1" applyBorder="1" applyAlignment="1">
      <alignment horizontal="center" vertical="center"/>
    </xf>
    <xf numFmtId="44" fontId="15" fillId="0" borderId="2" xfId="1" applyFont="1" applyBorder="1" applyAlignment="1">
      <alignment horizontal="center" vertical="center"/>
    </xf>
    <xf numFmtId="44" fontId="15" fillId="3" borderId="2" xfId="1" applyFont="1" applyFill="1" applyBorder="1" applyAlignment="1">
      <alignment horizontal="center" vertical="center"/>
    </xf>
    <xf numFmtId="165" fontId="24" fillId="0" borderId="0" xfId="0" applyNumberFormat="1" applyFont="1" applyAlignment="1">
      <alignment horizontal="right" vertical="center"/>
    </xf>
    <xf numFmtId="44" fontId="0" fillId="0" borderId="0" xfId="0" applyNumberFormat="1"/>
    <xf numFmtId="0" fontId="36" fillId="0" borderId="0" xfId="0" applyFont="1" applyAlignment="1">
      <alignment horizontal="right" vertical="center"/>
    </xf>
    <xf numFmtId="0" fontId="37" fillId="2" borderId="0" xfId="0" applyFont="1" applyFill="1"/>
    <xf numFmtId="0" fontId="40" fillId="0" borderId="0" xfId="0" applyFont="1"/>
    <xf numFmtId="0" fontId="40" fillId="0" borderId="1" xfId="0" applyFont="1" applyBorder="1"/>
    <xf numFmtId="0" fontId="37" fillId="0" borderId="0" xfId="0" applyFont="1"/>
    <xf numFmtId="1" fontId="41" fillId="0" borderId="0" xfId="0" applyNumberFormat="1" applyFont="1" applyAlignment="1">
      <alignment horizontal="center" vertical="center"/>
    </xf>
    <xf numFmtId="0" fontId="33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29" fillId="5" borderId="0" xfId="0" applyFont="1" applyFill="1" applyAlignment="1">
      <alignment vertical="center"/>
    </xf>
    <xf numFmtId="0" fontId="24" fillId="0" borderId="0" xfId="0" applyFont="1" applyAlignment="1">
      <alignment vertical="center"/>
    </xf>
    <xf numFmtId="0" fontId="24" fillId="0" borderId="0" xfId="0" quotePrefix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" fontId="36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" fontId="30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1" fontId="37" fillId="0" borderId="0" xfId="0" applyNumberFormat="1" applyFont="1" applyAlignment="1">
      <alignment horizontal="center"/>
    </xf>
    <xf numFmtId="1" fontId="20" fillId="0" borderId="0" xfId="0" applyNumberFormat="1" applyFont="1" applyAlignment="1">
      <alignment horizontal="center" vertical="center"/>
    </xf>
    <xf numFmtId="1" fontId="39" fillId="0" borderId="0" xfId="0" applyNumberFormat="1" applyFont="1" applyAlignment="1">
      <alignment horizontal="center" vertical="center"/>
    </xf>
    <xf numFmtId="1" fontId="19" fillId="0" borderId="0" xfId="0" applyNumberFormat="1" applyFont="1" applyAlignment="1">
      <alignment horizontal="center"/>
    </xf>
    <xf numFmtId="1" fontId="40" fillId="0" borderId="0" xfId="0" applyNumberFormat="1" applyFont="1" applyAlignment="1">
      <alignment horizontal="center"/>
    </xf>
    <xf numFmtId="0" fontId="0" fillId="0" borderId="12" xfId="0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36" fillId="0" borderId="12" xfId="0" applyFont="1" applyBorder="1" applyAlignment="1">
      <alignment horizontal="center" vertical="center"/>
    </xf>
    <xf numFmtId="0" fontId="0" fillId="0" borderId="12" xfId="0" applyBorder="1"/>
    <xf numFmtId="0" fontId="37" fillId="0" borderId="12" xfId="0" applyFont="1" applyBorder="1"/>
    <xf numFmtId="16" fontId="1" fillId="0" borderId="12" xfId="0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" fontId="41" fillId="0" borderId="12" xfId="0" applyNumberFormat="1" applyFont="1" applyBorder="1" applyAlignment="1">
      <alignment horizontal="center" vertical="center"/>
    </xf>
    <xf numFmtId="0" fontId="30" fillId="0" borderId="12" xfId="0" applyFont="1" applyBorder="1" applyAlignment="1">
      <alignment horizontal="left" vertical="center"/>
    </xf>
    <xf numFmtId="0" fontId="30" fillId="0" borderId="12" xfId="0" applyFont="1" applyBorder="1" applyAlignment="1">
      <alignment vertical="center"/>
    </xf>
    <xf numFmtId="0" fontId="5" fillId="0" borderId="12" xfId="0" applyFont="1" applyBorder="1"/>
    <xf numFmtId="0" fontId="38" fillId="0" borderId="12" xfId="0" applyFont="1" applyBorder="1"/>
    <xf numFmtId="0" fontId="20" fillId="0" borderId="12" xfId="0" applyFont="1" applyBorder="1" applyAlignment="1">
      <alignment vertical="center"/>
    </xf>
    <xf numFmtId="0" fontId="39" fillId="0" borderId="12" xfId="0" applyFont="1" applyBorder="1" applyAlignment="1">
      <alignment vertical="center"/>
    </xf>
    <xf numFmtId="1" fontId="36" fillId="0" borderId="12" xfId="0" applyNumberFormat="1" applyFont="1" applyBorder="1" applyAlignment="1">
      <alignment horizontal="center" vertical="center"/>
    </xf>
    <xf numFmtId="16" fontId="1" fillId="7" borderId="12" xfId="0" applyNumberFormat="1" applyFont="1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7" borderId="12" xfId="0" applyFill="1" applyBorder="1" applyAlignment="1">
      <alignment horizontal="center" vertical="center"/>
    </xf>
    <xf numFmtId="16" fontId="1" fillId="8" borderId="12" xfId="0" applyNumberFormat="1" applyFont="1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8" borderId="12" xfId="0" applyFill="1" applyBorder="1" applyAlignment="1">
      <alignment horizontal="center" vertical="center"/>
    </xf>
    <xf numFmtId="0" fontId="1" fillId="0" borderId="15" xfId="0" applyFont="1" applyBorder="1"/>
    <xf numFmtId="0" fontId="0" fillId="0" borderId="15" xfId="0" applyBorder="1"/>
    <xf numFmtId="0" fontId="0" fillId="0" borderId="15" xfId="0" quotePrefix="1" applyBorder="1"/>
    <xf numFmtId="0" fontId="0" fillId="0" borderId="15" xfId="0" applyBorder="1" applyAlignment="1">
      <alignment horizontal="left" vertical="center"/>
    </xf>
    <xf numFmtId="0" fontId="24" fillId="0" borderId="0" xfId="0" applyFont="1" applyAlignment="1">
      <alignment horizontal="right" vertical="center"/>
    </xf>
    <xf numFmtId="166" fontId="24" fillId="0" borderId="0" xfId="0" applyNumberFormat="1" applyFont="1" applyAlignment="1">
      <alignment horizontal="right" vertical="center"/>
    </xf>
    <xf numFmtId="0" fontId="24" fillId="0" borderId="0" xfId="0" quotePrefix="1" applyFont="1" applyAlignment="1">
      <alignment horizontal="right" vertical="center"/>
    </xf>
    <xf numFmtId="0" fontId="23" fillId="0" borderId="0" xfId="0" applyFont="1" applyAlignment="1">
      <alignment horizontal="right" vertical="center"/>
    </xf>
    <xf numFmtId="0" fontId="1" fillId="0" borderId="12" xfId="0" applyFont="1" applyBorder="1"/>
    <xf numFmtId="0" fontId="33" fillId="0" borderId="0" xfId="0" applyFont="1" applyAlignment="1">
      <alignment vertical="center"/>
    </xf>
    <xf numFmtId="0" fontId="36" fillId="0" borderId="13" xfId="0" applyFont="1" applyBorder="1" applyAlignment="1">
      <alignment horizontal="center" vertical="center" textRotation="45"/>
    </xf>
    <xf numFmtId="0" fontId="36" fillId="0" borderId="14" xfId="0" applyFont="1" applyBorder="1" applyAlignment="1">
      <alignment horizontal="center" vertical="center" textRotation="45"/>
    </xf>
    <xf numFmtId="0" fontId="10" fillId="0" borderId="0" xfId="0" applyFont="1" applyAlignment="1">
      <alignment vertical="center"/>
    </xf>
    <xf numFmtId="0" fontId="31" fillId="5" borderId="0" xfId="0" applyFont="1" applyFill="1" applyAlignment="1">
      <alignment vertical="center"/>
    </xf>
    <xf numFmtId="0" fontId="29" fillId="5" borderId="0" xfId="0" applyFont="1" applyFill="1" applyAlignment="1">
      <alignment horizontal="right" vertical="center"/>
    </xf>
    <xf numFmtId="0" fontId="19" fillId="0" borderId="0" xfId="0" applyFont="1"/>
    <xf numFmtId="0" fontId="19" fillId="0" borderId="11" xfId="0" applyFont="1" applyBorder="1" applyAlignment="1">
      <alignment vertical="top"/>
    </xf>
    <xf numFmtId="0" fontId="19" fillId="0" borderId="0" xfId="0" applyFont="1" applyAlignment="1">
      <alignment vertical="top"/>
    </xf>
    <xf numFmtId="0" fontId="19" fillId="0" borderId="1" xfId="0" applyFont="1" applyBorder="1"/>
    <xf numFmtId="166" fontId="35" fillId="0" borderId="1" xfId="0" applyNumberFormat="1" applyFont="1" applyBorder="1"/>
    <xf numFmtId="166" fontId="19" fillId="0" borderId="1" xfId="0" applyNumberFormat="1" applyFont="1" applyBorder="1"/>
    <xf numFmtId="0" fontId="19" fillId="0" borderId="11" xfId="0" applyFont="1" applyBorder="1"/>
    <xf numFmtId="0" fontId="22" fillId="4" borderId="6" xfId="0" applyFont="1" applyFill="1" applyBorder="1" applyAlignment="1">
      <alignment horizontal="right" vertical="center" wrapText="1"/>
    </xf>
    <xf numFmtId="0" fontId="22" fillId="4" borderId="9" xfId="0" applyFont="1" applyFill="1" applyBorder="1" applyAlignment="1">
      <alignment horizontal="right" vertical="center" wrapText="1"/>
    </xf>
    <xf numFmtId="0" fontId="4" fillId="0" borderId="0" xfId="0" applyFont="1"/>
    <xf numFmtId="0" fontId="8" fillId="5" borderId="0" xfId="0" applyFont="1" applyFill="1" applyAlignment="1">
      <alignment vertical="center"/>
    </xf>
    <xf numFmtId="0" fontId="10" fillId="0" borderId="0" xfId="0" applyFont="1" applyAlignment="1">
      <alignment horizontal="left" vertical="center"/>
    </xf>
    <xf numFmtId="0" fontId="21" fillId="4" borderId="5" xfId="0" applyFont="1" applyFill="1" applyBorder="1" applyAlignment="1">
      <alignment horizontal="center"/>
    </xf>
    <xf numFmtId="0" fontId="22" fillId="4" borderId="4" xfId="0" applyFont="1" applyFill="1" applyBorder="1" applyAlignment="1">
      <alignment horizontal="center" vertical="center" wrapText="1"/>
    </xf>
    <xf numFmtId="0" fontId="22" fillId="4" borderId="7" xfId="0" applyFont="1" applyFill="1" applyBorder="1" applyAlignment="1">
      <alignment horizontal="center" vertical="center" wrapText="1"/>
    </xf>
    <xf numFmtId="0" fontId="22" fillId="4" borderId="5" xfId="0" applyFont="1" applyFill="1" applyBorder="1" applyAlignment="1">
      <alignment horizontal="center" vertical="center" wrapText="1"/>
    </xf>
    <xf numFmtId="0" fontId="22" fillId="4" borderId="8" xfId="0" applyFont="1" applyFill="1" applyBorder="1" applyAlignment="1">
      <alignment horizontal="center" vertical="center" wrapText="1"/>
    </xf>
    <xf numFmtId="0" fontId="35" fillId="0" borderId="1" xfId="0" applyFont="1" applyBorder="1"/>
    <xf numFmtId="0" fontId="20" fillId="5" borderId="0" xfId="0" applyFont="1" applyFill="1" applyAlignment="1">
      <alignment vertical="center"/>
    </xf>
    <xf numFmtId="0" fontId="27" fillId="6" borderId="10" xfId="0" applyFont="1" applyFill="1" applyBorder="1" applyAlignment="1">
      <alignment horizontal="right"/>
    </xf>
    <xf numFmtId="0" fontId="32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</cellXfs>
  <cellStyles count="2">
    <cellStyle name="Currency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AFEBE-B068-4D93-9E2E-95BF730E8517}">
  <sheetPr>
    <pageSetUpPr fitToPage="1"/>
  </sheetPr>
  <dimension ref="A1:M50"/>
  <sheetViews>
    <sheetView showGridLines="0" tabSelected="1" view="pageBreakPreview" zoomScaleNormal="100" zoomScaleSheetLayoutView="100" workbookViewId="0">
      <selection activeCell="K3" sqref="K3"/>
    </sheetView>
  </sheetViews>
  <sheetFormatPr defaultRowHeight="14.4" x14ac:dyDescent="0.3"/>
  <cols>
    <col min="1" max="1" width="2.33203125" bestFit="1" customWidth="1"/>
    <col min="2" max="2" width="27.88671875" bestFit="1" customWidth="1"/>
    <col min="3" max="4" width="7.77734375" customWidth="1"/>
    <col min="5" max="5" width="8.21875" customWidth="1"/>
    <col min="6" max="6" width="10.109375" bestFit="1" customWidth="1"/>
    <col min="7" max="7" width="7.77734375" customWidth="1"/>
    <col min="8" max="8" width="14.33203125" customWidth="1"/>
    <col min="9" max="9" width="6.77734375" bestFit="1" customWidth="1"/>
    <col min="10" max="10" width="17.21875" bestFit="1" customWidth="1"/>
    <col min="11" max="11" width="21.5546875" customWidth="1"/>
    <col min="12" max="12" width="12.44140625" bestFit="1" customWidth="1"/>
    <col min="13" max="15" width="10.77734375" customWidth="1"/>
  </cols>
  <sheetData>
    <row r="1" spans="1:11" ht="22.8" x14ac:dyDescent="0.3">
      <c r="A1" s="128" t="s">
        <v>32</v>
      </c>
      <c r="B1" s="140"/>
      <c r="C1" s="140"/>
      <c r="D1" s="140"/>
      <c r="E1" s="140"/>
      <c r="F1" s="140"/>
      <c r="G1" s="140"/>
      <c r="H1" s="140"/>
      <c r="I1" s="140"/>
      <c r="J1" s="129" t="s">
        <v>53</v>
      </c>
      <c r="K1" s="129"/>
    </row>
    <row r="2" spans="1:11" ht="1.95" customHeigh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3">
      <c r="A3" s="141" t="s">
        <v>77</v>
      </c>
      <c r="B3" s="141"/>
      <c r="C3" s="141"/>
      <c r="D3" s="141"/>
      <c r="E3" s="141"/>
      <c r="F3" s="141"/>
      <c r="G3" s="141"/>
      <c r="H3" s="122" t="s">
        <v>6</v>
      </c>
      <c r="I3" s="122"/>
      <c r="J3" s="122"/>
      <c r="K3" s="35" t="s">
        <v>76</v>
      </c>
    </row>
    <row r="4" spans="1:11" x14ac:dyDescent="0.3">
      <c r="A4" s="141" t="s">
        <v>39</v>
      </c>
      <c r="B4" s="141"/>
      <c r="C4" s="141"/>
      <c r="D4" s="141"/>
      <c r="E4" s="141"/>
      <c r="F4" s="141"/>
      <c r="G4" s="141"/>
      <c r="H4" s="122" t="s">
        <v>3</v>
      </c>
      <c r="I4" s="122"/>
      <c r="J4" s="122"/>
      <c r="K4" s="37" t="str">
        <f ca="1">TEXT(DATE(YEAR(TODAY()),MONTH(TODAY()),26),"dd mmmm yyyy")</f>
        <v>26 April 2026</v>
      </c>
    </row>
    <row r="5" spans="1:11" x14ac:dyDescent="0.3">
      <c r="A5" s="141" t="s">
        <v>40</v>
      </c>
      <c r="B5" s="141"/>
      <c r="C5" s="141"/>
      <c r="D5" s="141"/>
      <c r="E5" s="141"/>
      <c r="F5" s="141"/>
      <c r="G5" s="141"/>
      <c r="H5" s="122" t="s">
        <v>4</v>
      </c>
      <c r="I5" s="122"/>
      <c r="J5" s="122"/>
      <c r="K5" s="35" t="str">
        <f ca="1">TEXT(K4,"mmmm YY") &amp; " (" &amp; TEXT(DATE(YEAR(K4),MONTH(K4),1),"dd mmm") &amp; " - " &amp; TEXT(DATE(YEAR(K4),MONTH(K4),25),"dd mmm") &amp; ")"</f>
        <v>April 26 (01 Apr - 25 Apr)</v>
      </c>
    </row>
    <row r="6" spans="1:11" x14ac:dyDescent="0.3">
      <c r="A6" s="141" t="s">
        <v>31</v>
      </c>
      <c r="B6" s="141"/>
      <c r="C6" s="141"/>
      <c r="D6" s="141"/>
      <c r="E6" s="141"/>
      <c r="F6" s="141"/>
      <c r="G6" s="141"/>
      <c r="H6" s="122" t="s">
        <v>10</v>
      </c>
      <c r="I6" s="122"/>
      <c r="J6" s="122"/>
      <c r="K6" s="35">
        <f ca="1">DATE(YEAR(K4),MONTH(K4),25) - DATE(YEAR(K4),MONTH(K4),1) + 1</f>
        <v>25</v>
      </c>
    </row>
    <row r="7" spans="1:11" x14ac:dyDescent="0.3">
      <c r="A7" s="141" t="s">
        <v>41</v>
      </c>
      <c r="B7" s="141"/>
      <c r="C7" s="141"/>
      <c r="D7" s="141"/>
      <c r="E7" s="141"/>
      <c r="F7" s="141"/>
      <c r="G7" s="141"/>
      <c r="H7" s="122" t="s">
        <v>5</v>
      </c>
      <c r="I7" s="122"/>
      <c r="J7" s="122"/>
      <c r="K7" s="38"/>
    </row>
    <row r="8" spans="1:11" x14ac:dyDescent="0.3">
      <c r="A8" s="141"/>
      <c r="B8" s="141"/>
      <c r="C8" s="141"/>
      <c r="D8" s="141"/>
      <c r="E8" s="141"/>
      <c r="F8" s="141"/>
      <c r="G8" s="141"/>
      <c r="H8" s="122"/>
      <c r="I8" s="122"/>
      <c r="J8" s="122"/>
      <c r="K8" s="35"/>
    </row>
    <row r="9" spans="1:11" x14ac:dyDescent="0.3">
      <c r="A9" s="5"/>
      <c r="B9" s="8"/>
      <c r="C9" s="2"/>
      <c r="D9" s="2"/>
      <c r="E9" s="2"/>
      <c r="F9" s="2"/>
      <c r="G9" s="2"/>
      <c r="H9" s="139"/>
      <c r="I9" s="139"/>
      <c r="J9" s="139"/>
      <c r="K9" s="36"/>
    </row>
    <row r="10" spans="1:11" x14ac:dyDescent="0.3">
      <c r="A10" s="150" t="s">
        <v>7</v>
      </c>
      <c r="B10" s="150"/>
      <c r="C10" s="150"/>
      <c r="D10" s="150"/>
      <c r="E10" s="150"/>
      <c r="F10" s="150"/>
      <c r="G10" s="150"/>
      <c r="H10" s="122"/>
      <c r="I10" s="122"/>
      <c r="J10" s="122"/>
      <c r="K10" s="36"/>
    </row>
    <row r="11" spans="1:11" x14ac:dyDescent="0.3">
      <c r="A11" s="151" t="s">
        <v>8</v>
      </c>
      <c r="B11" s="151"/>
      <c r="C11" s="151"/>
      <c r="D11" s="151"/>
      <c r="E11" s="151"/>
      <c r="F11" s="151"/>
      <c r="G11" s="151"/>
      <c r="H11" s="122" t="s">
        <v>9</v>
      </c>
      <c r="I11" s="122"/>
      <c r="J11" s="122"/>
      <c r="K11" s="35" t="s">
        <v>58</v>
      </c>
    </row>
    <row r="12" spans="1:11" x14ac:dyDescent="0.3">
      <c r="A12" s="151" t="s">
        <v>37</v>
      </c>
      <c r="B12" s="151"/>
      <c r="C12" s="151"/>
      <c r="D12" s="151"/>
      <c r="E12" s="151"/>
      <c r="F12" s="151"/>
      <c r="G12" s="151"/>
      <c r="H12" s="122" t="s">
        <v>12</v>
      </c>
      <c r="I12" s="122"/>
      <c r="J12" s="122"/>
      <c r="K12" s="65">
        <v>11.5</v>
      </c>
    </row>
    <row r="13" spans="1:11" x14ac:dyDescent="0.3">
      <c r="A13" s="151" t="s">
        <v>11</v>
      </c>
      <c r="B13" s="151"/>
      <c r="C13" s="151"/>
      <c r="D13" s="151"/>
      <c r="E13" s="151"/>
      <c r="F13" s="151"/>
      <c r="G13" s="151"/>
      <c r="H13" s="122" t="s">
        <v>34</v>
      </c>
      <c r="I13" s="122"/>
      <c r="J13" s="122"/>
      <c r="K13" s="65">
        <v>96.5</v>
      </c>
    </row>
    <row r="14" spans="1:11" x14ac:dyDescent="0.3">
      <c r="A14" s="151" t="s">
        <v>38</v>
      </c>
      <c r="B14" s="151"/>
      <c r="C14" s="151"/>
      <c r="D14" s="151"/>
      <c r="E14" s="151"/>
      <c r="F14" s="151"/>
      <c r="G14" s="151"/>
      <c r="H14" s="122" t="s">
        <v>43</v>
      </c>
      <c r="I14" s="122"/>
      <c r="J14" s="122"/>
      <c r="K14" s="65">
        <v>7</v>
      </c>
    </row>
    <row r="15" spans="1:11" x14ac:dyDescent="0.3">
      <c r="H15" s="122" t="s">
        <v>33</v>
      </c>
      <c r="I15" s="122"/>
      <c r="J15" s="122"/>
      <c r="K15" s="35" t="s">
        <v>59</v>
      </c>
    </row>
    <row r="16" spans="1:11" x14ac:dyDescent="0.3">
      <c r="H16" s="2"/>
      <c r="I16" s="2"/>
      <c r="J16" s="18"/>
      <c r="K16" s="28"/>
    </row>
    <row r="17" spans="1:13" x14ac:dyDescent="0.3">
      <c r="H17" s="2"/>
      <c r="I17" s="2"/>
      <c r="J17" s="18"/>
      <c r="K17" s="28"/>
    </row>
    <row r="18" spans="1:13" x14ac:dyDescent="0.3">
      <c r="H18" s="2"/>
      <c r="I18" s="2"/>
      <c r="J18" s="18"/>
      <c r="K18" s="28"/>
    </row>
    <row r="19" spans="1:13" x14ac:dyDescent="0.3">
      <c r="A19" s="143" t="s">
        <v>13</v>
      </c>
      <c r="B19" s="145" t="s">
        <v>24</v>
      </c>
      <c r="C19" s="145" t="s">
        <v>14</v>
      </c>
      <c r="D19" s="142" t="s">
        <v>45</v>
      </c>
      <c r="E19" s="142"/>
      <c r="F19" s="142"/>
      <c r="G19" s="142"/>
      <c r="H19" s="142"/>
      <c r="I19" s="142" t="s">
        <v>22</v>
      </c>
      <c r="J19" s="142"/>
      <c r="K19" s="137" t="s">
        <v>23</v>
      </c>
    </row>
    <row r="20" spans="1:13" ht="30.6" x14ac:dyDescent="0.3">
      <c r="A20" s="144"/>
      <c r="B20" s="146" t="s">
        <v>24</v>
      </c>
      <c r="C20" s="146"/>
      <c r="D20" s="49" t="s">
        <v>15</v>
      </c>
      <c r="E20" s="49" t="s">
        <v>42</v>
      </c>
      <c r="F20" s="49" t="s">
        <v>44</v>
      </c>
      <c r="G20" s="49" t="s">
        <v>16</v>
      </c>
      <c r="H20" s="49" t="s">
        <v>17</v>
      </c>
      <c r="I20" s="49" t="s">
        <v>18</v>
      </c>
      <c r="J20" s="49" t="s">
        <v>19</v>
      </c>
      <c r="K20" s="138"/>
    </row>
    <row r="21" spans="1:13" x14ac:dyDescent="0.3">
      <c r="A21" s="42">
        <v>1</v>
      </c>
      <c r="B21" s="43" t="s">
        <v>66</v>
      </c>
      <c r="C21" s="44">
        <v>8</v>
      </c>
      <c r="D21" s="45">
        <v>22</v>
      </c>
      <c r="E21" s="45">
        <v>0</v>
      </c>
      <c r="F21" s="62">
        <f>IF(E21="","",E21*$K$14)</f>
        <v>0</v>
      </c>
      <c r="G21" s="46">
        <f ca="1">IF(D21="","",$K$6)</f>
        <v>25</v>
      </c>
      <c r="H21" s="47">
        <f ca="1">IF(D21="","",D21*$K$12*$K$6)</f>
        <v>6325</v>
      </c>
      <c r="I21" s="45">
        <f>'Service Notes'!AH13</f>
        <v>7</v>
      </c>
      <c r="J21" s="47">
        <f>IF(D21="","",D21*I21*$K$13)</f>
        <v>14861</v>
      </c>
      <c r="K21" s="48">
        <f ca="1">IF(D21="","",F21+H21+J21)</f>
        <v>21186</v>
      </c>
      <c r="L21" s="66"/>
    </row>
    <row r="22" spans="1:13" x14ac:dyDescent="0.3">
      <c r="A22" s="19">
        <v>2</v>
      </c>
      <c r="B22" s="20" t="s">
        <v>72</v>
      </c>
      <c r="C22" s="21">
        <v>73</v>
      </c>
      <c r="D22" s="22">
        <v>1</v>
      </c>
      <c r="E22" s="22">
        <v>0</v>
      </c>
      <c r="F22" s="62">
        <f t="shared" ref="F22:F23" si="0">IF(E22="","",E22*$K$14)</f>
        <v>0</v>
      </c>
      <c r="G22" s="23">
        <f t="shared" ref="G22:G23" ca="1" si="1">IF(D22="","",$K$6)</f>
        <v>25</v>
      </c>
      <c r="H22" s="47">
        <f t="shared" ref="H22:H23" ca="1" si="2">IF(D22="","",D22*$K$12*$K$6)</f>
        <v>287.5</v>
      </c>
      <c r="I22" s="45">
        <f>'Service Notes'!AH14</f>
        <v>7</v>
      </c>
      <c r="J22" s="47">
        <f t="shared" ref="J22:J23" si="3">IF(D22="","",D22*I22*$K$13)</f>
        <v>675.5</v>
      </c>
      <c r="K22" s="48">
        <f t="shared" ref="K22:K23" ca="1" si="4">IF(D22="","",F22+H22+J22)</f>
        <v>963</v>
      </c>
    </row>
    <row r="23" spans="1:13" x14ac:dyDescent="0.3">
      <c r="A23" s="19">
        <v>3</v>
      </c>
      <c r="B23" s="20" t="s">
        <v>73</v>
      </c>
      <c r="C23" s="21">
        <v>49</v>
      </c>
      <c r="D23" s="22">
        <v>12</v>
      </c>
      <c r="E23" s="22">
        <v>0</v>
      </c>
      <c r="F23" s="62">
        <f t="shared" si="0"/>
        <v>0</v>
      </c>
      <c r="G23" s="23">
        <f t="shared" ca="1" si="1"/>
        <v>25</v>
      </c>
      <c r="H23" s="47">
        <f t="shared" ca="1" si="2"/>
        <v>3450</v>
      </c>
      <c r="I23" s="45">
        <f>'Service Notes'!AH15</f>
        <v>7</v>
      </c>
      <c r="J23" s="47">
        <f t="shared" si="3"/>
        <v>8106</v>
      </c>
      <c r="K23" s="48">
        <f t="shared" ca="1" si="4"/>
        <v>11556</v>
      </c>
    </row>
    <row r="24" spans="1:13" x14ac:dyDescent="0.3">
      <c r="A24" s="19"/>
      <c r="B24" s="20"/>
      <c r="C24" s="21"/>
      <c r="D24" s="22"/>
      <c r="E24" s="22"/>
      <c r="F24" s="62"/>
      <c r="G24" s="23"/>
      <c r="H24" s="47"/>
      <c r="I24" s="45"/>
      <c r="J24" s="47"/>
      <c r="K24" s="48"/>
      <c r="M24" s="7"/>
    </row>
    <row r="25" spans="1:13" x14ac:dyDescent="0.3">
      <c r="A25" s="19"/>
      <c r="B25" s="20"/>
      <c r="C25" s="21"/>
      <c r="D25" s="22"/>
      <c r="E25" s="22"/>
      <c r="F25" s="62"/>
      <c r="G25" s="23"/>
      <c r="H25" s="47"/>
      <c r="I25" s="45"/>
      <c r="J25" s="47"/>
      <c r="K25" s="48"/>
    </row>
    <row r="26" spans="1:13" x14ac:dyDescent="0.3">
      <c r="A26" s="19"/>
      <c r="B26" s="20"/>
      <c r="C26" s="21"/>
      <c r="D26" s="22"/>
      <c r="E26" s="22"/>
      <c r="F26" s="62"/>
      <c r="G26" s="23"/>
      <c r="H26" s="47"/>
      <c r="I26" s="45"/>
      <c r="J26" s="47"/>
      <c r="K26" s="48"/>
    </row>
    <row r="27" spans="1:13" x14ac:dyDescent="0.3">
      <c r="A27" s="19"/>
      <c r="B27" s="20"/>
      <c r="C27" s="21"/>
      <c r="D27" s="22"/>
      <c r="E27" s="22"/>
      <c r="F27" s="62"/>
      <c r="G27" s="23"/>
      <c r="H27" s="47"/>
      <c r="I27" s="45"/>
      <c r="J27" s="47"/>
      <c r="K27" s="48"/>
    </row>
    <row r="28" spans="1:13" x14ac:dyDescent="0.3">
      <c r="A28" s="19"/>
      <c r="B28" s="20"/>
      <c r="C28" s="21"/>
      <c r="D28" s="22"/>
      <c r="E28" s="22"/>
      <c r="F28" s="62"/>
      <c r="G28" s="23"/>
      <c r="H28" s="47"/>
      <c r="I28" s="45"/>
      <c r="J28" s="47"/>
      <c r="K28" s="48"/>
    </row>
    <row r="29" spans="1:13" x14ac:dyDescent="0.3">
      <c r="A29" s="19"/>
      <c r="B29" s="20"/>
      <c r="C29" s="21"/>
      <c r="D29" s="22"/>
      <c r="E29" s="22"/>
      <c r="F29" s="62"/>
      <c r="G29" s="23"/>
      <c r="H29" s="47"/>
      <c r="I29" s="45"/>
      <c r="J29" s="47"/>
      <c r="K29" s="48"/>
      <c r="L29" s="6"/>
    </row>
    <row r="30" spans="1:13" x14ac:dyDescent="0.3">
      <c r="A30" s="19"/>
      <c r="B30" s="20"/>
      <c r="C30" s="21"/>
      <c r="D30" s="22"/>
      <c r="E30" s="22"/>
      <c r="F30" s="62"/>
      <c r="G30" s="23"/>
      <c r="H30" s="47"/>
      <c r="I30" s="45"/>
      <c r="J30" s="47"/>
      <c r="K30" s="48"/>
    </row>
    <row r="31" spans="1:13" x14ac:dyDescent="0.3">
      <c r="A31" s="19"/>
      <c r="B31" s="20"/>
      <c r="C31" s="21"/>
      <c r="D31" s="22"/>
      <c r="E31" s="22"/>
      <c r="F31" s="62"/>
      <c r="G31" s="23"/>
      <c r="H31" s="47"/>
      <c r="I31" s="45"/>
      <c r="J31" s="47"/>
      <c r="K31" s="48"/>
      <c r="L31" s="6"/>
    </row>
    <row r="32" spans="1:13" x14ac:dyDescent="0.3">
      <c r="A32" s="19"/>
      <c r="B32" s="20"/>
      <c r="C32" s="21"/>
      <c r="D32" s="22"/>
      <c r="E32" s="22"/>
      <c r="F32" s="62"/>
      <c r="G32" s="23"/>
      <c r="H32" s="47"/>
      <c r="I32" s="45"/>
      <c r="J32" s="47"/>
      <c r="K32" s="48"/>
    </row>
    <row r="33" spans="1:12" x14ac:dyDescent="0.3">
      <c r="A33" s="19"/>
      <c r="B33" s="20"/>
      <c r="C33" s="21"/>
      <c r="D33" s="22"/>
      <c r="E33" s="22"/>
      <c r="F33" s="62"/>
      <c r="G33" s="23"/>
      <c r="H33" s="47"/>
      <c r="I33" s="45"/>
      <c r="J33" s="47"/>
      <c r="K33" s="48"/>
    </row>
    <row r="34" spans="1:12" x14ac:dyDescent="0.3">
      <c r="A34" s="19"/>
      <c r="B34" s="26"/>
      <c r="C34" s="27"/>
      <c r="D34" s="22"/>
      <c r="E34" s="22"/>
      <c r="F34" s="63"/>
      <c r="G34" s="23"/>
      <c r="H34" s="24"/>
      <c r="I34" s="22"/>
      <c r="J34" s="24"/>
      <c r="K34" s="25"/>
    </row>
    <row r="35" spans="1:12" x14ac:dyDescent="0.3">
      <c r="A35" s="11"/>
      <c r="B35" s="12"/>
      <c r="C35" s="17"/>
      <c r="D35" s="13"/>
      <c r="E35" s="13"/>
      <c r="F35" s="64"/>
      <c r="G35" s="14" t="str">
        <f>IF(D35="","",$K$13)</f>
        <v/>
      </c>
      <c r="H35" s="15" t="str">
        <f t="shared" ref="H35" si="5">IF(D35="","",D35*$K$13*$K$14)</f>
        <v/>
      </c>
      <c r="I35" s="13"/>
      <c r="J35" s="15" t="str">
        <f t="shared" ref="J35" si="6">IF(D35="","",D35*I35*$K$15)</f>
        <v/>
      </c>
      <c r="K35" s="16"/>
    </row>
    <row r="36" spans="1:12" x14ac:dyDescent="0.3">
      <c r="A36" s="1"/>
      <c r="B36" s="9"/>
      <c r="C36" s="9"/>
      <c r="D36" s="9"/>
      <c r="E36" s="9"/>
      <c r="F36" s="9"/>
      <c r="G36" s="9"/>
      <c r="H36" s="3"/>
      <c r="I36" s="3"/>
      <c r="J36" s="4"/>
    </row>
    <row r="37" spans="1:12" x14ac:dyDescent="0.3">
      <c r="A37" s="50"/>
      <c r="B37" s="51" t="s">
        <v>35</v>
      </c>
      <c r="C37" s="51"/>
      <c r="D37" s="52">
        <f>SUM(D21:D35)</f>
        <v>35</v>
      </c>
      <c r="E37" s="52">
        <f>SUM(E21:E35)</f>
        <v>0</v>
      </c>
      <c r="F37" s="54">
        <f>SUM(F21:F35)</f>
        <v>0</v>
      </c>
      <c r="G37" s="53"/>
      <c r="H37" s="54">
        <f ca="1">SUM(H21:H35)</f>
        <v>10062.5</v>
      </c>
      <c r="I37" s="53"/>
      <c r="J37" s="54">
        <f>SUM(J21:J35)</f>
        <v>23642.5</v>
      </c>
      <c r="K37" s="55">
        <f ca="1">SUM(F37,H37,J37)</f>
        <v>33705</v>
      </c>
      <c r="L37" s="66">
        <f ca="1">SUM(K21:K33)</f>
        <v>33705</v>
      </c>
    </row>
    <row r="38" spans="1:12" x14ac:dyDescent="0.3">
      <c r="A38" s="1"/>
      <c r="B38" s="9"/>
      <c r="C38" s="9"/>
      <c r="D38" s="9"/>
      <c r="E38" s="9"/>
      <c r="F38" s="9"/>
      <c r="G38" s="9"/>
      <c r="J38" s="3" t="s">
        <v>21</v>
      </c>
      <c r="K38" s="29">
        <f ca="1">K37*15%</f>
        <v>5055.75</v>
      </c>
    </row>
    <row r="39" spans="1:12" ht="15.6" x14ac:dyDescent="0.3">
      <c r="A39" s="148" t="s">
        <v>20</v>
      </c>
      <c r="B39" s="148"/>
      <c r="C39" s="148"/>
      <c r="D39" s="148"/>
      <c r="E39" s="59"/>
      <c r="F39" s="59"/>
      <c r="G39" s="33"/>
      <c r="H39" s="149" t="s">
        <v>36</v>
      </c>
      <c r="I39" s="149"/>
      <c r="J39" s="149"/>
      <c r="K39" s="56">
        <f ca="1">K37+K38</f>
        <v>38760.75</v>
      </c>
    </row>
    <row r="40" spans="1:12" x14ac:dyDescent="0.3">
      <c r="A40" s="39" t="s">
        <v>25</v>
      </c>
      <c r="B40" s="40"/>
      <c r="C40" s="40"/>
      <c r="D40" s="40"/>
      <c r="E40" s="40"/>
      <c r="F40" s="40"/>
      <c r="G40" s="5"/>
      <c r="H40" s="5"/>
      <c r="I40" s="5"/>
      <c r="J40" s="5"/>
    </row>
    <row r="41" spans="1:12" x14ac:dyDescent="0.3">
      <c r="A41" s="39" t="s">
        <v>26</v>
      </c>
      <c r="B41" s="40"/>
      <c r="C41" s="40"/>
      <c r="D41" s="40"/>
      <c r="E41" s="40"/>
      <c r="F41" s="40"/>
      <c r="G41" s="31"/>
      <c r="H41" s="31"/>
      <c r="I41" s="31"/>
      <c r="J41" s="31"/>
      <c r="K41" s="31"/>
    </row>
    <row r="42" spans="1:12" x14ac:dyDescent="0.3">
      <c r="A42" s="40" t="s">
        <v>27</v>
      </c>
      <c r="B42" s="40"/>
      <c r="C42" s="40"/>
      <c r="D42" s="40"/>
      <c r="E42" s="40"/>
      <c r="F42" s="40"/>
      <c r="H42" s="30"/>
      <c r="I42" s="30"/>
      <c r="J42" s="30"/>
      <c r="K42" s="30"/>
    </row>
    <row r="43" spans="1:12" x14ac:dyDescent="0.3">
      <c r="A43" s="40" t="s">
        <v>28</v>
      </c>
      <c r="B43" s="40"/>
      <c r="C43" s="40"/>
      <c r="D43" s="40"/>
      <c r="E43" s="40"/>
      <c r="F43" s="40"/>
      <c r="H43" s="32"/>
      <c r="I43" s="32"/>
      <c r="J43" s="32"/>
      <c r="K43" s="32"/>
    </row>
    <row r="44" spans="1:12" x14ac:dyDescent="0.3">
      <c r="A44" s="34"/>
      <c r="B44" s="34"/>
      <c r="C44" s="34"/>
      <c r="D44" s="34"/>
      <c r="E44" s="34"/>
      <c r="F44" s="34"/>
      <c r="H44" s="41" t="s">
        <v>30</v>
      </c>
      <c r="I44" s="41"/>
      <c r="J44" s="41"/>
      <c r="K44" s="41"/>
    </row>
    <row r="45" spans="1:12" x14ac:dyDescent="0.3">
      <c r="A45" s="34"/>
      <c r="B45" s="34"/>
      <c r="C45" s="34"/>
      <c r="D45" s="34"/>
      <c r="E45" s="34"/>
      <c r="F45" s="34"/>
      <c r="H45" s="30"/>
      <c r="I45" s="30"/>
      <c r="J45" s="30"/>
      <c r="K45" s="30"/>
    </row>
    <row r="46" spans="1:12" x14ac:dyDescent="0.3">
      <c r="A46" s="133"/>
      <c r="B46" s="133"/>
      <c r="C46" s="133"/>
      <c r="D46" s="133"/>
      <c r="E46" s="30"/>
      <c r="F46" s="30"/>
      <c r="H46" s="32"/>
      <c r="I46" s="32"/>
      <c r="J46" s="32"/>
      <c r="K46" s="32"/>
    </row>
    <row r="47" spans="1:12" x14ac:dyDescent="0.3">
      <c r="A47" s="41" t="s">
        <v>29</v>
      </c>
      <c r="B47" s="41"/>
      <c r="C47" s="41"/>
      <c r="D47" s="41"/>
      <c r="E47" s="41"/>
      <c r="F47" s="41"/>
      <c r="H47" s="30" t="s">
        <v>1</v>
      </c>
      <c r="I47" s="30"/>
      <c r="J47" s="30"/>
      <c r="K47" s="30"/>
    </row>
    <row r="48" spans="1:12" x14ac:dyDescent="0.3">
      <c r="A48" s="30"/>
      <c r="B48" s="30"/>
      <c r="C48" s="30"/>
      <c r="D48" s="30"/>
      <c r="E48" s="30"/>
      <c r="F48" s="30"/>
      <c r="H48" s="30"/>
      <c r="I48" s="30"/>
      <c r="J48" s="30"/>
      <c r="K48" s="30"/>
    </row>
    <row r="49" spans="1:11" x14ac:dyDescent="0.3">
      <c r="A49" s="134" t="str">
        <f ca="1">K4</f>
        <v>26 April 2026</v>
      </c>
      <c r="B49" s="147"/>
      <c r="C49" s="147"/>
      <c r="D49" s="147"/>
      <c r="E49" s="61"/>
      <c r="F49" s="61"/>
      <c r="H49" s="135"/>
      <c r="I49" s="133"/>
      <c r="J49" s="133"/>
      <c r="K49" s="133"/>
    </row>
    <row r="50" spans="1:11" ht="25.05" customHeight="1" x14ac:dyDescent="0.3">
      <c r="A50" s="41" t="s">
        <v>0</v>
      </c>
      <c r="B50" s="30"/>
      <c r="C50" s="30"/>
      <c r="D50" s="30"/>
      <c r="E50" s="30"/>
      <c r="F50" s="30"/>
      <c r="H50" s="41" t="s">
        <v>0</v>
      </c>
      <c r="I50" s="30"/>
      <c r="J50" s="30"/>
      <c r="K50" s="30"/>
    </row>
  </sheetData>
  <mergeCells count="37">
    <mergeCell ref="A49:D49"/>
    <mergeCell ref="A46:D46"/>
    <mergeCell ref="H49:K49"/>
    <mergeCell ref="A5:G5"/>
    <mergeCell ref="A6:G6"/>
    <mergeCell ref="A7:G7"/>
    <mergeCell ref="A39:D39"/>
    <mergeCell ref="H39:J39"/>
    <mergeCell ref="A8:G8"/>
    <mergeCell ref="A10:G10"/>
    <mergeCell ref="H10:J10"/>
    <mergeCell ref="A11:G11"/>
    <mergeCell ref="A12:G12"/>
    <mergeCell ref="A13:G13"/>
    <mergeCell ref="A14:G14"/>
    <mergeCell ref="D19:H19"/>
    <mergeCell ref="A19:A20"/>
    <mergeCell ref="B19:B20"/>
    <mergeCell ref="C19:C20"/>
    <mergeCell ref="H13:J13"/>
    <mergeCell ref="H14:J14"/>
    <mergeCell ref="H8:J8"/>
    <mergeCell ref="K19:K20"/>
    <mergeCell ref="J1:K1"/>
    <mergeCell ref="H9:J9"/>
    <mergeCell ref="H11:J11"/>
    <mergeCell ref="H12:J12"/>
    <mergeCell ref="A1:I1"/>
    <mergeCell ref="A3:G3"/>
    <mergeCell ref="A4:G4"/>
    <mergeCell ref="H3:J3"/>
    <mergeCell ref="H4:J4"/>
    <mergeCell ref="H5:J5"/>
    <mergeCell ref="H6:J6"/>
    <mergeCell ref="H7:J7"/>
    <mergeCell ref="H15:J15"/>
    <mergeCell ref="I19:J19"/>
  </mergeCells>
  <phoneticPr fontId="11" type="noConversion"/>
  <conditionalFormatting sqref="E21:E33">
    <cfRule type="cellIs" dxfId="0" priority="1" operator="greaterThan">
      <formula>D21</formula>
    </cfRule>
  </conditionalFormatting>
  <dataValidations count="1">
    <dataValidation type="whole" operator="greaterThanOrEqual" showErrorMessage="1" errorTitle="Invalid" error="Enter a whole number ≥ 0" sqref="D21:F35 I21:I35" xr:uid="{C6D762D9-E729-416C-B9B8-C414A1A3C1A1}">
      <formula1>0</formula1>
      <formula2>0</formula2>
    </dataValidation>
  </dataValidations>
  <pageMargins left="0.7" right="0.7" top="1.542" bottom="0.75" header="0.3" footer="0.3"/>
  <pageSetup paperSize="9" scale="66" fitToHeight="0" orientation="portrait" r:id="rId1"/>
  <headerFooter>
    <oddHeader>&amp;L&amp;"-,Bold"&amp;22TAX INVOICE&amp;10
&amp;9SITHEMBE TRANSPORTATION AND PROJECTS  &amp;"-,Regular"
VAT No: 4070272101  
285 Erasmus Ave  
Raslouw AH  
Centuiron  
0157  &amp;R&amp;G</oddHeader>
    <oddFooter>&amp;Laccounts@sithembe.co.za&amp;Cwww.sithembe.co.za&amp;R012 880 3155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5C490-9475-4092-9D4D-DDA8F324246F}">
  <sheetPr>
    <pageSetUpPr fitToPage="1"/>
  </sheetPr>
  <dimension ref="A1:AH28"/>
  <sheetViews>
    <sheetView view="pageBreakPreview" zoomScaleNormal="100" zoomScaleSheetLayoutView="100" workbookViewId="0">
      <selection activeCell="A24" sqref="A24:M24"/>
    </sheetView>
  </sheetViews>
  <sheetFormatPr defaultRowHeight="14.4" x14ac:dyDescent="0.3"/>
  <cols>
    <col min="1" max="1" width="9.6640625" customWidth="1"/>
    <col min="2" max="2" width="24.44140625" customWidth="1"/>
    <col min="3" max="18" width="6.88671875" bestFit="1" customWidth="1"/>
    <col min="19" max="33" width="6.88671875" style="71" bestFit="1" customWidth="1"/>
    <col min="34" max="34" width="5.5546875" customWidth="1"/>
    <col min="35" max="35" width="12.44140625" bestFit="1" customWidth="1"/>
    <col min="36" max="38" width="10.77734375" customWidth="1"/>
  </cols>
  <sheetData>
    <row r="1" spans="1:34" ht="22.8" x14ac:dyDescent="0.3">
      <c r="A1" s="128" t="s">
        <v>32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9" t="s">
        <v>54</v>
      </c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</row>
    <row r="2" spans="1:34" ht="1.95" customHeigh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10"/>
    </row>
    <row r="3" spans="1:34" x14ac:dyDescent="0.3">
      <c r="A3" s="127" t="s">
        <v>2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74"/>
      <c r="O3" s="74"/>
      <c r="P3" s="74"/>
      <c r="Q3" s="57"/>
      <c r="R3" s="35"/>
      <c r="S3" s="77"/>
      <c r="T3" s="77"/>
      <c r="U3" s="77"/>
      <c r="V3" s="77"/>
      <c r="W3" s="77"/>
      <c r="X3" s="77"/>
      <c r="Y3" s="77"/>
      <c r="Z3" s="122" t="s">
        <v>6</v>
      </c>
      <c r="AA3" s="122"/>
      <c r="AB3" s="122"/>
      <c r="AC3" s="119" t="str">
        <f>'Invoice — Region 5'!K3</f>
        <v>STP/INV/26/0331</v>
      </c>
      <c r="AD3" s="119"/>
      <c r="AE3" s="119"/>
      <c r="AF3" s="119"/>
      <c r="AG3" s="119"/>
      <c r="AH3" s="119"/>
    </row>
    <row r="4" spans="1:34" x14ac:dyDescent="0.3">
      <c r="A4" s="127" t="s">
        <v>39</v>
      </c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74"/>
      <c r="O4" s="74"/>
      <c r="P4" s="74"/>
      <c r="Q4" s="57"/>
      <c r="R4" s="37"/>
      <c r="S4" s="79"/>
      <c r="T4" s="79"/>
      <c r="U4" s="79"/>
      <c r="V4" s="79"/>
      <c r="W4" s="79"/>
      <c r="X4" s="79"/>
      <c r="Y4" s="79"/>
      <c r="Z4" s="122" t="s">
        <v>3</v>
      </c>
      <c r="AA4" s="122"/>
      <c r="AB4" s="122"/>
      <c r="AC4" s="120" t="str">
        <f ca="1">'Invoice — Region 5'!K4</f>
        <v>26 April 2026</v>
      </c>
      <c r="AD4" s="120"/>
      <c r="AE4" s="120"/>
      <c r="AF4" s="120"/>
      <c r="AG4" s="120"/>
      <c r="AH4" s="120"/>
    </row>
    <row r="5" spans="1:34" x14ac:dyDescent="0.3">
      <c r="A5" s="127" t="s">
        <v>40</v>
      </c>
      <c r="B5" s="127"/>
      <c r="C5" s="127"/>
      <c r="D5" s="127"/>
      <c r="E5" s="127"/>
      <c r="F5" s="127"/>
      <c r="G5" s="127"/>
      <c r="H5" s="127"/>
      <c r="I5" s="127"/>
      <c r="J5" s="127"/>
      <c r="K5" s="127"/>
      <c r="L5" s="127"/>
      <c r="M5" s="127"/>
      <c r="N5" s="74"/>
      <c r="O5" s="74"/>
      <c r="P5" s="74"/>
      <c r="Q5" s="57"/>
      <c r="R5" s="35"/>
      <c r="S5" s="77"/>
      <c r="T5" s="77"/>
      <c r="U5" s="77"/>
      <c r="V5" s="77"/>
      <c r="W5" s="77"/>
      <c r="X5" s="77"/>
      <c r="Y5" s="77"/>
      <c r="Z5" s="122" t="s">
        <v>4</v>
      </c>
      <c r="AA5" s="122"/>
      <c r="AB5" s="122"/>
      <c r="AC5" s="119" t="str">
        <f ca="1">'Invoice — Region 5'!K5</f>
        <v>April 26 (01 Apr - 25 Apr)</v>
      </c>
      <c r="AD5" s="119"/>
      <c r="AE5" s="119"/>
      <c r="AF5" s="119"/>
      <c r="AG5" s="119"/>
      <c r="AH5" s="119"/>
    </row>
    <row r="6" spans="1:34" x14ac:dyDescent="0.3">
      <c r="A6" s="127" t="s">
        <v>31</v>
      </c>
      <c r="B6" s="127"/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127"/>
      <c r="N6" s="74"/>
      <c r="O6" s="74"/>
      <c r="P6" s="74"/>
      <c r="Q6" s="57"/>
      <c r="R6" s="35"/>
      <c r="S6" s="77"/>
      <c r="T6" s="77"/>
      <c r="U6" s="77"/>
      <c r="V6" s="77"/>
      <c r="W6" s="77"/>
      <c r="X6" s="77"/>
      <c r="Y6" s="77"/>
      <c r="Z6" s="122" t="s">
        <v>10</v>
      </c>
      <c r="AA6" s="122"/>
      <c r="AB6" s="122"/>
      <c r="AC6" s="119">
        <f ca="1">'Invoice — Region 5'!K6</f>
        <v>25</v>
      </c>
      <c r="AD6" s="119"/>
      <c r="AE6" s="119"/>
      <c r="AF6" s="119"/>
      <c r="AG6" s="119"/>
      <c r="AH6" s="119"/>
    </row>
    <row r="7" spans="1:34" x14ac:dyDescent="0.3">
      <c r="A7" s="127" t="s">
        <v>41</v>
      </c>
      <c r="B7" s="127"/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74"/>
      <c r="O7" s="74"/>
      <c r="P7" s="74"/>
      <c r="Q7" s="57"/>
      <c r="R7" s="38"/>
      <c r="S7" s="78"/>
      <c r="T7" s="78"/>
      <c r="U7" s="78"/>
      <c r="V7" s="78"/>
      <c r="W7" s="78"/>
      <c r="X7" s="78"/>
      <c r="Y7" s="78"/>
      <c r="Z7" s="122" t="s">
        <v>5</v>
      </c>
      <c r="AA7" s="122"/>
      <c r="AB7" s="122"/>
      <c r="AC7" s="121" t="str">
        <f>IF('Invoice — Region 5'!AA7="","",'Invoice — Region 5'!AA7)</f>
        <v/>
      </c>
      <c r="AD7" s="121"/>
      <c r="AE7" s="121"/>
      <c r="AF7" s="121"/>
      <c r="AG7" s="121"/>
      <c r="AH7" s="121"/>
    </row>
    <row r="8" spans="1:34" x14ac:dyDescent="0.3">
      <c r="A8" s="124" t="s">
        <v>48</v>
      </c>
      <c r="B8" s="124"/>
      <c r="C8" s="124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74"/>
      <c r="O8" s="74"/>
      <c r="P8" s="74"/>
      <c r="Q8" s="57"/>
      <c r="R8" s="35"/>
      <c r="S8" s="77"/>
      <c r="T8" s="77"/>
      <c r="U8" s="77"/>
      <c r="V8" s="77"/>
      <c r="W8" s="77"/>
      <c r="X8" s="77"/>
      <c r="Y8" s="77"/>
      <c r="Z8" s="122" t="s">
        <v>9</v>
      </c>
      <c r="AA8" s="122"/>
      <c r="AB8" s="122"/>
      <c r="AC8" s="119" t="str">
        <f>'Invoice — Region 5'!K11</f>
        <v>Region 5</v>
      </c>
      <c r="AD8" s="119"/>
      <c r="AE8" s="119"/>
      <c r="AF8" s="119"/>
      <c r="AG8" s="119"/>
      <c r="AH8" s="119"/>
    </row>
    <row r="9" spans="1:34" x14ac:dyDescent="0.3">
      <c r="A9" s="73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4"/>
      <c r="O9" s="74"/>
      <c r="P9" s="74"/>
      <c r="Q9" s="57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</row>
    <row r="10" spans="1:34" x14ac:dyDescent="0.3">
      <c r="Q10" s="2"/>
      <c r="R10" s="2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28"/>
    </row>
    <row r="11" spans="1:34" x14ac:dyDescent="0.3">
      <c r="A11" s="123" t="s">
        <v>46</v>
      </c>
      <c r="B11" s="123"/>
      <c r="C11" s="94"/>
      <c r="D11" s="94"/>
      <c r="E11" s="94"/>
      <c r="F11" s="94"/>
      <c r="G11" s="94"/>
      <c r="H11" s="95"/>
      <c r="I11" s="95"/>
      <c r="J11" s="96"/>
      <c r="K11" s="96"/>
      <c r="L11" s="94"/>
      <c r="M11" s="97"/>
      <c r="N11" s="97"/>
      <c r="O11" s="97"/>
      <c r="P11" s="97"/>
      <c r="Q11" s="97"/>
      <c r="R11" s="97"/>
      <c r="S11" s="98"/>
      <c r="T11" s="98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125" t="s">
        <v>47</v>
      </c>
    </row>
    <row r="12" spans="1:34" x14ac:dyDescent="0.3">
      <c r="A12" s="123" t="s">
        <v>24</v>
      </c>
      <c r="B12" s="123"/>
      <c r="C12" s="112">
        <v>46082</v>
      </c>
      <c r="D12" s="99">
        <v>46083</v>
      </c>
      <c r="E12" s="99">
        <v>46084</v>
      </c>
      <c r="F12" s="99">
        <v>46085</v>
      </c>
      <c r="G12" s="99">
        <v>46086</v>
      </c>
      <c r="H12" s="99">
        <v>46087</v>
      </c>
      <c r="I12" s="109">
        <v>46088</v>
      </c>
      <c r="J12" s="112">
        <v>46089</v>
      </c>
      <c r="K12" s="99">
        <v>46090</v>
      </c>
      <c r="L12" s="99">
        <v>46091</v>
      </c>
      <c r="M12" s="99">
        <v>46092</v>
      </c>
      <c r="N12" s="99">
        <v>46093</v>
      </c>
      <c r="O12" s="99">
        <v>46094</v>
      </c>
      <c r="P12" s="109">
        <v>46095</v>
      </c>
      <c r="Q12" s="112">
        <v>46096</v>
      </c>
      <c r="R12" s="99">
        <v>46097</v>
      </c>
      <c r="S12" s="99">
        <v>46098</v>
      </c>
      <c r="T12" s="99">
        <v>46099</v>
      </c>
      <c r="U12" s="99">
        <v>46100</v>
      </c>
      <c r="V12" s="99">
        <v>46101</v>
      </c>
      <c r="W12" s="112">
        <v>46102</v>
      </c>
      <c r="X12" s="112">
        <v>46103</v>
      </c>
      <c r="Y12" s="99">
        <v>46104</v>
      </c>
      <c r="Z12" s="99">
        <v>46105</v>
      </c>
      <c r="AA12" s="99">
        <v>46106</v>
      </c>
      <c r="AB12" s="99">
        <v>46107</v>
      </c>
      <c r="AC12" s="99">
        <v>46108</v>
      </c>
      <c r="AD12" s="99">
        <v>46109</v>
      </c>
      <c r="AE12" s="99">
        <v>46110</v>
      </c>
      <c r="AF12" s="99">
        <v>46111</v>
      </c>
      <c r="AG12" s="99">
        <v>46112</v>
      </c>
      <c r="AH12" s="126"/>
    </row>
    <row r="13" spans="1:34" x14ac:dyDescent="0.3">
      <c r="A13" s="123" t="str">
        <f>'Invoice — Region 5'!B21</f>
        <v>Wallmansthall Berlin</v>
      </c>
      <c r="B13" s="123"/>
      <c r="C13" s="113" t="b">
        <v>0</v>
      </c>
      <c r="D13" s="100" t="b">
        <v>0</v>
      </c>
      <c r="E13" s="100" t="b">
        <v>1</v>
      </c>
      <c r="F13" s="100" t="b">
        <v>0</v>
      </c>
      <c r="G13" s="100" t="b">
        <v>0</v>
      </c>
      <c r="H13" s="100" t="b">
        <v>1</v>
      </c>
      <c r="I13" s="110" t="b">
        <v>0</v>
      </c>
      <c r="J13" s="113" t="b">
        <v>0</v>
      </c>
      <c r="K13" s="100" t="b">
        <v>1</v>
      </c>
      <c r="L13" s="100" t="b">
        <v>0</v>
      </c>
      <c r="M13" s="100" t="b">
        <v>0</v>
      </c>
      <c r="N13" s="100" t="b">
        <v>1</v>
      </c>
      <c r="O13" s="100" t="b">
        <v>0</v>
      </c>
      <c r="P13" s="110" t="b">
        <v>0</v>
      </c>
      <c r="Q13" s="113" t="b">
        <v>0</v>
      </c>
      <c r="R13" s="100" t="b">
        <v>0</v>
      </c>
      <c r="S13" s="100" t="b">
        <v>1</v>
      </c>
      <c r="T13" s="100" t="b">
        <v>0</v>
      </c>
      <c r="U13" s="100" t="b">
        <v>0</v>
      </c>
      <c r="V13" s="100" t="b">
        <v>1</v>
      </c>
      <c r="W13" s="113" t="b">
        <v>0</v>
      </c>
      <c r="X13" s="113" t="b">
        <v>0</v>
      </c>
      <c r="Y13" s="100" t="b">
        <v>0</v>
      </c>
      <c r="Z13" s="100" t="b">
        <v>1</v>
      </c>
      <c r="AA13" s="100" t="b">
        <v>0</v>
      </c>
      <c r="AB13" s="100" t="b">
        <v>0</v>
      </c>
      <c r="AC13" s="100" t="b">
        <v>0</v>
      </c>
      <c r="AD13" s="100" t="b">
        <v>0</v>
      </c>
      <c r="AE13" s="100" t="b">
        <v>0</v>
      </c>
      <c r="AF13" s="100" t="b">
        <v>0</v>
      </c>
      <c r="AG13" s="100" t="b">
        <v>0</v>
      </c>
      <c r="AH13" s="108">
        <f>COUNTIF(C13:AA13,TRUE)</f>
        <v>7</v>
      </c>
    </row>
    <row r="14" spans="1:34" x14ac:dyDescent="0.3">
      <c r="A14" s="123" t="str">
        <f>'Invoice — Region 5'!B22</f>
        <v>Rayton</v>
      </c>
      <c r="B14" s="123"/>
      <c r="C14" s="113" t="b">
        <v>0</v>
      </c>
      <c r="D14" s="100" t="b">
        <v>0</v>
      </c>
      <c r="E14" s="100" t="b">
        <v>1</v>
      </c>
      <c r="F14" s="100" t="b">
        <v>0</v>
      </c>
      <c r="G14" s="100" t="b">
        <v>0</v>
      </c>
      <c r="H14" s="100" t="b">
        <v>1</v>
      </c>
      <c r="I14" s="110" t="b">
        <v>0</v>
      </c>
      <c r="J14" s="113" t="b">
        <v>0</v>
      </c>
      <c r="K14" s="100" t="b">
        <v>1</v>
      </c>
      <c r="L14" s="100" t="b">
        <v>0</v>
      </c>
      <c r="M14" s="100" t="b">
        <v>0</v>
      </c>
      <c r="N14" s="100" t="b">
        <v>1</v>
      </c>
      <c r="O14" s="100" t="b">
        <v>0</v>
      </c>
      <c r="P14" s="110" t="b">
        <v>0</v>
      </c>
      <c r="Q14" s="113" t="b">
        <v>0</v>
      </c>
      <c r="R14" s="100" t="b">
        <v>0</v>
      </c>
      <c r="S14" s="100" t="b">
        <v>1</v>
      </c>
      <c r="T14" s="100" t="b">
        <v>0</v>
      </c>
      <c r="U14" s="100" t="b">
        <v>0</v>
      </c>
      <c r="V14" s="100" t="b">
        <v>1</v>
      </c>
      <c r="W14" s="113" t="b">
        <v>0</v>
      </c>
      <c r="X14" s="113" t="b">
        <v>0</v>
      </c>
      <c r="Y14" s="100" t="b">
        <v>0</v>
      </c>
      <c r="Z14" s="100" t="b">
        <v>1</v>
      </c>
      <c r="AA14" s="100" t="b">
        <v>0</v>
      </c>
      <c r="AB14" s="100" t="b">
        <v>0</v>
      </c>
      <c r="AC14" s="100" t="b">
        <v>0</v>
      </c>
      <c r="AD14" s="100" t="b">
        <v>0</v>
      </c>
      <c r="AE14" s="100" t="b">
        <v>0</v>
      </c>
      <c r="AF14" s="100" t="b">
        <v>0</v>
      </c>
      <c r="AG14" s="100" t="b">
        <v>0</v>
      </c>
      <c r="AH14" s="108">
        <f t="shared" ref="AH14:AH15" si="0">COUNTIF(C14:AA14,TRUE)</f>
        <v>7</v>
      </c>
    </row>
    <row r="15" spans="1:34" x14ac:dyDescent="0.3">
      <c r="A15" s="123" t="str">
        <f>'Invoice — Region 5'!B23</f>
        <v>Piernaarspoort</v>
      </c>
      <c r="B15" s="123"/>
      <c r="C15" s="113" t="b">
        <v>0</v>
      </c>
      <c r="D15" s="100" t="b">
        <v>0</v>
      </c>
      <c r="E15" s="100" t="b">
        <v>1</v>
      </c>
      <c r="F15" s="100" t="b">
        <v>0</v>
      </c>
      <c r="G15" s="100" t="b">
        <v>0</v>
      </c>
      <c r="H15" s="100" t="b">
        <v>1</v>
      </c>
      <c r="I15" s="110" t="b">
        <v>0</v>
      </c>
      <c r="J15" s="113" t="b">
        <v>0</v>
      </c>
      <c r="K15" s="100" t="b">
        <v>1</v>
      </c>
      <c r="L15" s="100" t="b">
        <v>0</v>
      </c>
      <c r="M15" s="100" t="b">
        <v>0</v>
      </c>
      <c r="N15" s="100" t="b">
        <v>1</v>
      </c>
      <c r="O15" s="100" t="b">
        <v>0</v>
      </c>
      <c r="P15" s="110" t="b">
        <v>0</v>
      </c>
      <c r="Q15" s="113" t="b">
        <v>0</v>
      </c>
      <c r="R15" s="100" t="b">
        <v>0</v>
      </c>
      <c r="S15" s="100" t="b">
        <v>1</v>
      </c>
      <c r="T15" s="100" t="b">
        <v>0</v>
      </c>
      <c r="U15" s="100" t="b">
        <v>0</v>
      </c>
      <c r="V15" s="100" t="b">
        <v>1</v>
      </c>
      <c r="W15" s="113" t="b">
        <v>0</v>
      </c>
      <c r="X15" s="113" t="b">
        <v>0</v>
      </c>
      <c r="Y15" s="100" t="b">
        <v>0</v>
      </c>
      <c r="Z15" s="100" t="b">
        <v>1</v>
      </c>
      <c r="AA15" s="100" t="b">
        <v>0</v>
      </c>
      <c r="AB15" s="100" t="b">
        <v>0</v>
      </c>
      <c r="AC15" s="100" t="b">
        <v>0</v>
      </c>
      <c r="AD15" s="100" t="b">
        <v>0</v>
      </c>
      <c r="AE15" s="100" t="b">
        <v>0</v>
      </c>
      <c r="AF15" s="100" t="b">
        <v>0</v>
      </c>
      <c r="AG15" s="100" t="b">
        <v>0</v>
      </c>
      <c r="AH15" s="108">
        <f t="shared" si="0"/>
        <v>7</v>
      </c>
    </row>
    <row r="16" spans="1:34" x14ac:dyDescent="0.3">
      <c r="A16" s="123"/>
      <c r="B16" s="123"/>
      <c r="C16" s="114"/>
      <c r="D16" s="94"/>
      <c r="E16" s="94"/>
      <c r="F16" s="94"/>
      <c r="G16" s="94"/>
      <c r="H16" s="94"/>
      <c r="I16" s="111"/>
      <c r="J16" s="114"/>
      <c r="K16" s="94"/>
      <c r="L16" s="94"/>
      <c r="M16" s="94"/>
      <c r="N16" s="94"/>
      <c r="O16" s="94"/>
      <c r="P16" s="111"/>
      <c r="Q16" s="114"/>
      <c r="R16" s="94"/>
      <c r="S16" s="94"/>
      <c r="T16" s="94"/>
      <c r="U16" s="94"/>
      <c r="V16" s="94"/>
      <c r="W16" s="114"/>
      <c r="X16" s="114"/>
      <c r="Y16" s="94"/>
      <c r="Z16" s="94"/>
      <c r="AA16" s="94"/>
      <c r="AB16" s="94"/>
      <c r="AC16" s="94"/>
      <c r="AD16" s="94"/>
      <c r="AE16" s="94"/>
      <c r="AF16" s="94"/>
      <c r="AG16" s="94"/>
      <c r="AH16" s="101"/>
    </row>
    <row r="17" spans="1:34" x14ac:dyDescent="0.3">
      <c r="A17" s="123"/>
      <c r="B17" s="123"/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101"/>
    </row>
    <row r="18" spans="1:34" x14ac:dyDescent="0.3">
      <c r="A18" s="102"/>
      <c r="B18" s="103"/>
      <c r="C18" s="103"/>
      <c r="D18" s="103"/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4"/>
      <c r="Q18" s="104"/>
      <c r="R18" s="104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98"/>
    </row>
    <row r="19" spans="1:34" x14ac:dyDescent="0.3">
      <c r="A19" s="102"/>
      <c r="B19" s="103"/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6"/>
      <c r="Q19" s="106"/>
      <c r="R19" s="106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</row>
    <row r="20" spans="1:34" x14ac:dyDescent="0.3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Q20" s="30"/>
      <c r="R20" s="30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</row>
    <row r="21" spans="1:34" x14ac:dyDescent="0.3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Q21" s="32"/>
      <c r="R21" s="32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32"/>
    </row>
    <row r="22" spans="1:34" x14ac:dyDescent="0.3">
      <c r="A22" s="132"/>
      <c r="B22" s="132"/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34"/>
      <c r="O22" s="34"/>
      <c r="Q22" s="131" t="s">
        <v>30</v>
      </c>
      <c r="R22" s="131"/>
      <c r="S22" s="131"/>
      <c r="T22" s="131"/>
      <c r="U22" s="131"/>
      <c r="V22" s="131"/>
      <c r="W22" s="131"/>
      <c r="X22" s="131"/>
      <c r="Y22" s="131"/>
      <c r="Z22" s="131"/>
      <c r="AA22" s="131"/>
      <c r="AB22" s="131"/>
      <c r="AC22" s="131"/>
      <c r="AD22" s="131"/>
      <c r="AE22" s="131"/>
      <c r="AF22" s="131"/>
      <c r="AG22" s="131"/>
      <c r="AH22" s="131"/>
    </row>
    <row r="23" spans="1:34" x14ac:dyDescent="0.3">
      <c r="A23" s="130"/>
      <c r="B23" s="130"/>
      <c r="C23" s="130"/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34"/>
      <c r="O23" s="34"/>
      <c r="Q23" s="130"/>
      <c r="R23" s="130"/>
      <c r="S23" s="130"/>
      <c r="T23" s="130"/>
      <c r="U23" s="130"/>
      <c r="V23" s="130"/>
      <c r="W23" s="130"/>
      <c r="X23" s="130"/>
      <c r="Y23" s="130"/>
      <c r="Z23" s="130"/>
      <c r="AA23" s="130"/>
      <c r="AB23" s="130"/>
      <c r="AC23" s="130"/>
      <c r="AD23" s="130"/>
      <c r="AE23" s="130"/>
      <c r="AF23" s="130"/>
      <c r="AG23" s="130"/>
      <c r="AH23" s="130"/>
    </row>
    <row r="24" spans="1:34" x14ac:dyDescent="0.3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30"/>
      <c r="O24" s="30"/>
      <c r="Q24" s="133"/>
      <c r="R24" s="133"/>
      <c r="S24" s="133"/>
      <c r="T24" s="133"/>
      <c r="U24" s="133"/>
      <c r="V24" s="133"/>
      <c r="W24" s="133"/>
      <c r="X24" s="133"/>
      <c r="Y24" s="133"/>
      <c r="Z24" s="133"/>
      <c r="AA24" s="133"/>
      <c r="AB24" s="133"/>
      <c r="AC24" s="133"/>
      <c r="AD24" s="133"/>
      <c r="AE24" s="133"/>
      <c r="AF24" s="133"/>
      <c r="AG24" s="133"/>
      <c r="AH24" s="133"/>
    </row>
    <row r="25" spans="1:34" x14ac:dyDescent="0.3">
      <c r="A25" s="131" t="s">
        <v>29</v>
      </c>
      <c r="B25" s="131"/>
      <c r="C25" s="131"/>
      <c r="D25" s="131"/>
      <c r="E25" s="131"/>
      <c r="F25" s="131"/>
      <c r="G25" s="131"/>
      <c r="H25" s="131"/>
      <c r="I25" s="131"/>
      <c r="J25" s="131"/>
      <c r="K25" s="131"/>
      <c r="L25" s="131"/>
      <c r="M25" s="131"/>
      <c r="N25" s="41"/>
      <c r="O25" s="41"/>
      <c r="Q25" s="136" t="s">
        <v>1</v>
      </c>
      <c r="R25" s="136"/>
      <c r="S25" s="136"/>
      <c r="T25" s="136"/>
      <c r="U25" s="136"/>
      <c r="V25" s="136"/>
      <c r="W25" s="136"/>
      <c r="X25" s="136"/>
      <c r="Y25" s="136"/>
      <c r="Z25" s="136"/>
      <c r="AA25" s="136"/>
      <c r="AB25" s="136"/>
      <c r="AC25" s="136"/>
      <c r="AD25" s="136"/>
      <c r="AE25" s="136"/>
      <c r="AF25" s="136"/>
      <c r="AG25" s="136"/>
      <c r="AH25" s="136"/>
    </row>
    <row r="26" spans="1:34" x14ac:dyDescent="0.3">
      <c r="A26" s="130"/>
      <c r="B26" s="130"/>
      <c r="C26" s="130"/>
      <c r="D26" s="130"/>
      <c r="E26" s="130"/>
      <c r="F26" s="130"/>
      <c r="G26" s="130"/>
      <c r="H26" s="130"/>
      <c r="I26" s="130"/>
      <c r="J26" s="130"/>
      <c r="K26" s="130"/>
      <c r="L26" s="130"/>
      <c r="M26" s="130"/>
      <c r="N26" s="30"/>
      <c r="O26" s="30"/>
      <c r="Q26" s="130"/>
      <c r="R26" s="130"/>
      <c r="S26" s="130"/>
      <c r="T26" s="130"/>
      <c r="U26" s="130"/>
      <c r="V26" s="130"/>
      <c r="W26" s="130"/>
      <c r="X26" s="130"/>
      <c r="Y26" s="130"/>
      <c r="Z26" s="130"/>
      <c r="AA26" s="130"/>
      <c r="AB26" s="130"/>
      <c r="AC26" s="130"/>
      <c r="AD26" s="130"/>
      <c r="AE26" s="130"/>
      <c r="AF26" s="130"/>
      <c r="AG26" s="130"/>
      <c r="AH26" s="130"/>
    </row>
    <row r="27" spans="1:34" x14ac:dyDescent="0.3">
      <c r="A27" s="134" t="str">
        <f ca="1">AC4</f>
        <v>26 April 2026</v>
      </c>
      <c r="B27" s="134"/>
      <c r="C27" s="134"/>
      <c r="D27" s="134"/>
      <c r="E27" s="134"/>
      <c r="F27" s="134"/>
      <c r="G27" s="134"/>
      <c r="H27" s="134"/>
      <c r="I27" s="134"/>
      <c r="J27" s="134"/>
      <c r="K27" s="134"/>
      <c r="L27" s="134"/>
      <c r="M27" s="134"/>
      <c r="N27" s="61"/>
      <c r="O27" s="61"/>
      <c r="Q27" s="135"/>
      <c r="R27" s="135"/>
      <c r="S27" s="135"/>
      <c r="T27" s="135"/>
      <c r="U27" s="135"/>
      <c r="V27" s="135"/>
      <c r="W27" s="135"/>
      <c r="X27" s="135"/>
      <c r="Y27" s="135"/>
      <c r="Z27" s="135"/>
      <c r="AA27" s="135"/>
      <c r="AB27" s="135"/>
      <c r="AC27" s="135"/>
      <c r="AD27" s="135"/>
      <c r="AE27" s="135"/>
      <c r="AF27" s="135"/>
      <c r="AG27" s="135"/>
      <c r="AH27" s="135"/>
    </row>
    <row r="28" spans="1:34" ht="25.05" customHeight="1" x14ac:dyDescent="0.3">
      <c r="A28" s="131" t="s">
        <v>0</v>
      </c>
      <c r="B28" s="131"/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1"/>
      <c r="N28" s="30"/>
      <c r="O28" s="30"/>
      <c r="Q28" s="131" t="s">
        <v>0</v>
      </c>
      <c r="R28" s="131"/>
      <c r="S28" s="131"/>
      <c r="T28" s="131"/>
      <c r="U28" s="131"/>
      <c r="V28" s="131"/>
      <c r="W28" s="131"/>
      <c r="X28" s="131"/>
      <c r="Y28" s="131"/>
      <c r="Z28" s="131"/>
      <c r="AA28" s="131"/>
      <c r="AB28" s="131"/>
      <c r="AC28" s="131"/>
      <c r="AD28" s="131"/>
      <c r="AE28" s="131"/>
      <c r="AF28" s="131"/>
      <c r="AG28" s="131"/>
      <c r="AH28" s="131"/>
    </row>
  </sheetData>
  <mergeCells count="42">
    <mergeCell ref="A1:O1"/>
    <mergeCell ref="P1:AH1"/>
    <mergeCell ref="Q26:AH26"/>
    <mergeCell ref="Q28:AH28"/>
    <mergeCell ref="A22:M22"/>
    <mergeCell ref="A23:M23"/>
    <mergeCell ref="A25:M25"/>
    <mergeCell ref="A26:M26"/>
    <mergeCell ref="A28:M28"/>
    <mergeCell ref="A24:M24"/>
    <mergeCell ref="A27:M27"/>
    <mergeCell ref="Q27:AH27"/>
    <mergeCell ref="Q22:AH22"/>
    <mergeCell ref="Q23:AH23"/>
    <mergeCell ref="Q24:AH24"/>
    <mergeCell ref="Q25:AH25"/>
    <mergeCell ref="A3:M3"/>
    <mergeCell ref="A4:M4"/>
    <mergeCell ref="A5:M5"/>
    <mergeCell ref="A6:M6"/>
    <mergeCell ref="A7:M7"/>
    <mergeCell ref="A14:B14"/>
    <mergeCell ref="A15:B15"/>
    <mergeCell ref="A16:B16"/>
    <mergeCell ref="A17:B17"/>
    <mergeCell ref="AC8:AH8"/>
    <mergeCell ref="Z8:AB8"/>
    <mergeCell ref="A11:B11"/>
    <mergeCell ref="A12:B12"/>
    <mergeCell ref="A13:B13"/>
    <mergeCell ref="A8:M8"/>
    <mergeCell ref="AH11:AH12"/>
    <mergeCell ref="Z3:AB3"/>
    <mergeCell ref="Z4:AB4"/>
    <mergeCell ref="Z5:AB5"/>
    <mergeCell ref="Z6:AB6"/>
    <mergeCell ref="Z7:AB7"/>
    <mergeCell ref="AC3:AH3"/>
    <mergeCell ref="AC4:AH4"/>
    <mergeCell ref="AC5:AH5"/>
    <mergeCell ref="AC6:AH6"/>
    <mergeCell ref="AC7:AH7"/>
  </mergeCells>
  <phoneticPr fontId="11" type="noConversion"/>
  <pageMargins left="0.7" right="0.7" top="1.542" bottom="0.75" header="0.3" footer="0.3"/>
  <pageSetup paperSize="9" scale="51" fitToHeight="0" orientation="landscape" r:id="rId1"/>
  <headerFooter>
    <oddHeader>&amp;L&amp;"-,Bold"&amp;26SERVICE NOTES&amp;18
SITHEMBE TRANSPORTATION AND PROJECTS  &amp;"-,Regular"
&amp;16VAT No: 4070272101  
285 Erasmus Ave  
Raslouw AH  
Centuiron  
0157  &amp;R&amp;G</oddHeader>
    <oddFooter>&amp;Laccounts@sithembe.co.za&amp;Cwww.sithembe.co.za&amp;R012 880 3155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7AE44-3889-494F-83EF-339450C837A5}">
  <sheetPr>
    <pageSetUpPr fitToPage="1"/>
  </sheetPr>
  <dimension ref="A1:D16"/>
  <sheetViews>
    <sheetView view="pageBreakPreview" zoomScaleNormal="100" zoomScaleSheetLayoutView="100" workbookViewId="0">
      <selection activeCell="G15" sqref="G15"/>
    </sheetView>
  </sheetViews>
  <sheetFormatPr defaultRowHeight="14.4" x14ac:dyDescent="0.3"/>
  <cols>
    <col min="1" max="1" width="27.88671875" customWidth="1"/>
    <col min="2" max="2" width="19" customWidth="1"/>
    <col min="3" max="3" width="23" customWidth="1"/>
    <col min="4" max="4" width="27.33203125" customWidth="1"/>
    <col min="5" max="5" width="12.44140625" bestFit="1" customWidth="1"/>
    <col min="6" max="8" width="10.77734375" customWidth="1"/>
  </cols>
  <sheetData>
    <row r="1" spans="1:4" ht="22.8" x14ac:dyDescent="0.3">
      <c r="A1" s="60" t="s">
        <v>32</v>
      </c>
      <c r="B1" s="60"/>
      <c r="C1" s="60"/>
      <c r="D1" s="58" t="s">
        <v>52</v>
      </c>
    </row>
    <row r="2" spans="1:4" ht="1.95" customHeight="1" x14ac:dyDescent="0.3">
      <c r="A2" s="10"/>
      <c r="B2" s="10"/>
      <c r="C2" s="10"/>
      <c r="D2" s="10"/>
    </row>
    <row r="3" spans="1:4" x14ac:dyDescent="0.3">
      <c r="A3" s="127" t="s">
        <v>2</v>
      </c>
      <c r="B3" s="127"/>
      <c r="C3" s="127"/>
      <c r="D3" s="127"/>
    </row>
    <row r="4" spans="1:4" x14ac:dyDescent="0.3">
      <c r="A4" s="127" t="s">
        <v>39</v>
      </c>
      <c r="B4" s="127"/>
      <c r="C4" s="127"/>
      <c r="D4" s="127"/>
    </row>
    <row r="5" spans="1:4" x14ac:dyDescent="0.3">
      <c r="A5" s="127" t="s">
        <v>40</v>
      </c>
      <c r="B5" s="127"/>
      <c r="C5" s="127"/>
      <c r="D5" s="127"/>
    </row>
    <row r="6" spans="1:4" x14ac:dyDescent="0.3">
      <c r="A6" s="127" t="s">
        <v>31</v>
      </c>
      <c r="B6" s="127"/>
      <c r="C6" s="127"/>
      <c r="D6" s="127"/>
    </row>
    <row r="7" spans="1:4" x14ac:dyDescent="0.3">
      <c r="A7" s="127" t="s">
        <v>41</v>
      </c>
      <c r="B7" s="127"/>
      <c r="C7" s="127"/>
      <c r="D7" s="127"/>
    </row>
    <row r="8" spans="1:4" x14ac:dyDescent="0.3">
      <c r="A8" s="124" t="s">
        <v>48</v>
      </c>
      <c r="B8" s="124"/>
      <c r="C8" s="124"/>
      <c r="D8" s="124"/>
    </row>
    <row r="9" spans="1:4" x14ac:dyDescent="0.3">
      <c r="A9" s="73"/>
      <c r="B9" s="73"/>
      <c r="C9" s="73"/>
      <c r="D9" s="73"/>
    </row>
    <row r="10" spans="1:4" x14ac:dyDescent="0.3">
      <c r="A10" s="115" t="s">
        <v>49</v>
      </c>
      <c r="B10" s="115" t="s">
        <v>50</v>
      </c>
      <c r="C10" s="115" t="s">
        <v>46</v>
      </c>
      <c r="D10" s="115" t="s">
        <v>51</v>
      </c>
    </row>
    <row r="11" spans="1:4" x14ac:dyDescent="0.3">
      <c r="A11" s="116" t="s">
        <v>60</v>
      </c>
      <c r="B11" s="117" t="s">
        <v>67</v>
      </c>
      <c r="C11" s="116" t="s">
        <v>61</v>
      </c>
      <c r="D11" s="116" t="s">
        <v>74</v>
      </c>
    </row>
    <row r="12" spans="1:4" x14ac:dyDescent="0.3">
      <c r="A12" s="116" t="s">
        <v>62</v>
      </c>
      <c r="B12" s="116" t="s">
        <v>63</v>
      </c>
      <c r="C12" s="116" t="s">
        <v>61</v>
      </c>
      <c r="D12" s="116" t="s">
        <v>75</v>
      </c>
    </row>
    <row r="13" spans="1:4" x14ac:dyDescent="0.3">
      <c r="A13" s="116" t="s">
        <v>64</v>
      </c>
      <c r="B13" s="116" t="s">
        <v>65</v>
      </c>
      <c r="C13" s="116" t="s">
        <v>66</v>
      </c>
      <c r="D13" s="116" t="s">
        <v>74</v>
      </c>
    </row>
    <row r="14" spans="1:4" x14ac:dyDescent="0.3">
      <c r="A14" s="116" t="s">
        <v>68</v>
      </c>
      <c r="B14" s="116" t="s">
        <v>70</v>
      </c>
      <c r="C14" s="116" t="s">
        <v>66</v>
      </c>
      <c r="D14" s="118" t="s">
        <v>75</v>
      </c>
    </row>
    <row r="15" spans="1:4" x14ac:dyDescent="0.3">
      <c r="A15" s="116" t="s">
        <v>69</v>
      </c>
      <c r="B15" s="116" t="s">
        <v>71</v>
      </c>
      <c r="C15" s="116" t="s">
        <v>66</v>
      </c>
      <c r="D15" s="118" t="s">
        <v>75</v>
      </c>
    </row>
    <row r="16" spans="1:4" x14ac:dyDescent="0.3">
      <c r="C16" s="75"/>
      <c r="D16" s="75"/>
    </row>
  </sheetData>
  <mergeCells count="6">
    <mergeCell ref="A8:D8"/>
    <mergeCell ref="A5:D5"/>
    <mergeCell ref="A6:D6"/>
    <mergeCell ref="A7:D7"/>
    <mergeCell ref="A3:D3"/>
    <mergeCell ref="A4:D4"/>
  </mergeCells>
  <phoneticPr fontId="11" type="noConversion"/>
  <pageMargins left="0.7" right="0.7" top="1.542" bottom="0.75" header="0.3" footer="0.3"/>
  <pageSetup paperSize="9" scale="89" fitToHeight="0" orientation="portrait" r:id="rId1"/>
  <headerFooter>
    <oddHeader>&amp;L&amp;"-,Bold"&amp;22EMPLOYEE LIST&amp;10
&amp;9SITHEMBE TRANSPORTATION AND PROJECTS  &amp;"-,Regular"
VAT No: 4070272101  
285 Erasmus Ave  
Raslouw AH  
Centuiron  
0157  &amp;R&amp;G</oddHeader>
    <oddFooter>&amp;Laccounts@sithembe.co.za&amp;Cwww.sithembe.co.za&amp;R012 880 3155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AE07C-D1D5-41A6-8372-57EB0E8E6307}">
  <sheetPr>
    <pageSetUpPr fitToPage="1"/>
  </sheetPr>
  <dimension ref="A1:L75"/>
  <sheetViews>
    <sheetView view="pageBreakPreview" topLeftCell="A10" zoomScaleNormal="100" zoomScaleSheetLayoutView="100" workbookViewId="0">
      <selection activeCell="O17" sqref="O17"/>
    </sheetView>
  </sheetViews>
  <sheetFormatPr defaultRowHeight="14.4" x14ac:dyDescent="0.3"/>
  <cols>
    <col min="1" max="1" width="9.6640625" bestFit="1" customWidth="1"/>
    <col min="2" max="2" width="13.77734375" bestFit="1" customWidth="1"/>
    <col min="3" max="3" width="9.6640625" bestFit="1" customWidth="1"/>
    <col min="4" max="4" width="13.77734375" bestFit="1" customWidth="1"/>
    <col min="5" max="5" width="9.6640625" bestFit="1" customWidth="1"/>
    <col min="6" max="6" width="13.77734375" bestFit="1" customWidth="1"/>
    <col min="7" max="7" width="9.6640625" bestFit="1" customWidth="1"/>
    <col min="8" max="8" width="13.77734375" bestFit="1" customWidth="1"/>
    <col min="9" max="9" width="9.6640625" bestFit="1" customWidth="1"/>
    <col min="10" max="10" width="13.77734375" style="71" bestFit="1" customWidth="1"/>
    <col min="11" max="11" width="9.6640625" style="71" bestFit="1" customWidth="1"/>
    <col min="12" max="12" width="13.77734375" bestFit="1" customWidth="1"/>
    <col min="13" max="13" width="12.44140625" bestFit="1" customWidth="1"/>
    <col min="14" max="16" width="10.77734375" customWidth="1"/>
  </cols>
  <sheetData>
    <row r="1" spans="1:12" ht="22.8" x14ac:dyDescent="0.3">
      <c r="A1" s="128" t="s">
        <v>32</v>
      </c>
      <c r="B1" s="128"/>
      <c r="C1" s="128"/>
      <c r="D1" s="128"/>
      <c r="E1" s="128"/>
      <c r="F1" s="128"/>
      <c r="G1" s="58"/>
      <c r="H1" s="76"/>
      <c r="I1" s="76"/>
      <c r="J1" s="129" t="s">
        <v>57</v>
      </c>
      <c r="K1" s="129"/>
      <c r="L1" s="129"/>
    </row>
    <row r="2" spans="1:12" ht="1.95" customHeight="1" x14ac:dyDescent="0.3">
      <c r="A2" s="10"/>
      <c r="B2" s="10"/>
      <c r="C2" s="10"/>
      <c r="D2" s="10"/>
      <c r="E2" s="10"/>
      <c r="F2" s="10"/>
      <c r="G2" s="10"/>
      <c r="H2" s="10"/>
      <c r="I2" s="10"/>
      <c r="J2" s="68"/>
      <c r="K2" s="68"/>
      <c r="L2" s="10"/>
    </row>
    <row r="3" spans="1:12" x14ac:dyDescent="0.3">
      <c r="A3" s="80" t="s">
        <v>55</v>
      </c>
      <c r="B3" s="80" t="s">
        <v>56</v>
      </c>
      <c r="C3" s="80" t="s">
        <v>55</v>
      </c>
      <c r="D3" s="80" t="s">
        <v>56</v>
      </c>
      <c r="E3" s="80" t="s">
        <v>55</v>
      </c>
      <c r="F3" s="80" t="s">
        <v>56</v>
      </c>
      <c r="G3" s="80" t="s">
        <v>55</v>
      </c>
      <c r="H3" s="80" t="s">
        <v>56</v>
      </c>
      <c r="I3" s="80" t="s">
        <v>55</v>
      </c>
      <c r="J3" s="80" t="s">
        <v>56</v>
      </c>
      <c r="K3" s="80" t="s">
        <v>55</v>
      </c>
      <c r="L3" s="80" t="s">
        <v>56</v>
      </c>
    </row>
    <row r="4" spans="1:12" x14ac:dyDescent="0.3">
      <c r="A4" s="81">
        <v>1</v>
      </c>
      <c r="B4" s="81"/>
      <c r="C4" s="82">
        <v>73</v>
      </c>
      <c r="D4" s="82"/>
      <c r="E4" s="82">
        <v>145</v>
      </c>
      <c r="F4" s="82"/>
      <c r="G4" s="82">
        <v>217</v>
      </c>
      <c r="H4" s="82"/>
      <c r="I4" s="82">
        <v>289</v>
      </c>
      <c r="J4" s="82"/>
      <c r="K4" s="82">
        <v>361</v>
      </c>
      <c r="L4" s="72"/>
    </row>
    <row r="5" spans="1:12" x14ac:dyDescent="0.3">
      <c r="A5" s="81">
        <v>2</v>
      </c>
      <c r="B5" s="81"/>
      <c r="C5" s="82">
        <v>74</v>
      </c>
      <c r="D5" s="82"/>
      <c r="E5" s="82">
        <v>146</v>
      </c>
      <c r="F5" s="82"/>
      <c r="G5" s="82">
        <v>218</v>
      </c>
      <c r="H5" s="83"/>
      <c r="I5" s="83">
        <v>290</v>
      </c>
      <c r="J5" s="84"/>
      <c r="K5" s="82">
        <v>362</v>
      </c>
      <c r="L5" s="84"/>
    </row>
    <row r="6" spans="1:12" x14ac:dyDescent="0.3">
      <c r="A6" s="81">
        <v>3</v>
      </c>
      <c r="B6" s="81"/>
      <c r="C6" s="82">
        <v>75</v>
      </c>
      <c r="D6" s="82"/>
      <c r="E6" s="82">
        <v>147</v>
      </c>
      <c r="F6" s="82"/>
      <c r="G6" s="82">
        <v>219</v>
      </c>
      <c r="H6" s="82"/>
      <c r="I6" s="82">
        <v>291</v>
      </c>
      <c r="J6" s="82"/>
      <c r="K6" s="82">
        <v>363</v>
      </c>
      <c r="L6" s="72"/>
    </row>
    <row r="7" spans="1:12" x14ac:dyDescent="0.3">
      <c r="A7" s="81">
        <v>4</v>
      </c>
      <c r="B7" s="81"/>
      <c r="C7" s="82">
        <v>76</v>
      </c>
      <c r="D7" s="82"/>
      <c r="E7" s="82">
        <v>148</v>
      </c>
      <c r="F7" s="82"/>
      <c r="G7" s="82">
        <v>220</v>
      </c>
      <c r="H7" s="82"/>
      <c r="I7" s="83">
        <v>292</v>
      </c>
      <c r="J7" s="82"/>
      <c r="K7" s="82">
        <v>364</v>
      </c>
      <c r="L7" s="72"/>
    </row>
    <row r="8" spans="1:12" x14ac:dyDescent="0.3">
      <c r="A8" s="81">
        <v>5</v>
      </c>
      <c r="B8" s="81"/>
      <c r="C8" s="82">
        <v>77</v>
      </c>
      <c r="D8" s="82"/>
      <c r="E8" s="82">
        <v>149</v>
      </c>
      <c r="F8" s="82"/>
      <c r="G8" s="82">
        <v>221</v>
      </c>
      <c r="H8" s="82"/>
      <c r="I8" s="82">
        <v>293</v>
      </c>
      <c r="J8" s="82"/>
      <c r="K8" s="82">
        <v>365</v>
      </c>
      <c r="L8" s="72"/>
    </row>
    <row r="9" spans="1:12" x14ac:dyDescent="0.3">
      <c r="A9" s="81">
        <v>6</v>
      </c>
      <c r="B9" s="81"/>
      <c r="C9" s="82">
        <v>78</v>
      </c>
      <c r="D9" s="82"/>
      <c r="E9" s="82">
        <v>150</v>
      </c>
      <c r="F9" s="82"/>
      <c r="G9" s="82">
        <v>222</v>
      </c>
      <c r="H9" s="82"/>
      <c r="I9" s="83">
        <v>294</v>
      </c>
      <c r="J9" s="82"/>
      <c r="K9" s="82">
        <v>366</v>
      </c>
      <c r="L9" s="72"/>
    </row>
    <row r="10" spans="1:12" x14ac:dyDescent="0.3">
      <c r="A10" s="81">
        <v>7</v>
      </c>
      <c r="B10" s="81"/>
      <c r="C10" s="82">
        <v>79</v>
      </c>
      <c r="D10" s="82"/>
      <c r="E10" s="82">
        <v>151</v>
      </c>
      <c r="F10" s="82"/>
      <c r="G10" s="82">
        <v>223</v>
      </c>
      <c r="H10" s="82"/>
      <c r="I10" s="82">
        <v>295</v>
      </c>
      <c r="J10" s="82"/>
      <c r="K10" s="82">
        <v>367</v>
      </c>
      <c r="L10" s="72"/>
    </row>
    <row r="11" spans="1:12" x14ac:dyDescent="0.3">
      <c r="A11" s="81">
        <v>8</v>
      </c>
      <c r="B11" s="81"/>
      <c r="C11" s="82">
        <v>80</v>
      </c>
      <c r="D11" s="82"/>
      <c r="E11" s="82">
        <v>152</v>
      </c>
      <c r="F11" s="82"/>
      <c r="G11" s="82">
        <v>224</v>
      </c>
      <c r="H11" s="83"/>
      <c r="I11" s="83">
        <v>296</v>
      </c>
      <c r="J11" s="84"/>
      <c r="K11" s="82">
        <v>368</v>
      </c>
      <c r="L11" s="84"/>
    </row>
    <row r="12" spans="1:12" x14ac:dyDescent="0.3">
      <c r="A12" s="81">
        <v>9</v>
      </c>
      <c r="B12" s="81"/>
      <c r="C12" s="82">
        <v>81</v>
      </c>
      <c r="D12" s="82"/>
      <c r="E12" s="82">
        <v>153</v>
      </c>
      <c r="F12" s="82"/>
      <c r="G12" s="82">
        <v>225</v>
      </c>
      <c r="H12" s="82"/>
      <c r="I12" s="82">
        <v>297</v>
      </c>
      <c r="J12" s="82"/>
      <c r="K12" s="82">
        <v>369</v>
      </c>
      <c r="L12" s="72"/>
    </row>
    <row r="13" spans="1:12" x14ac:dyDescent="0.3">
      <c r="A13" s="81">
        <v>10</v>
      </c>
      <c r="B13" s="81"/>
      <c r="C13" s="82">
        <v>82</v>
      </c>
      <c r="D13" s="82"/>
      <c r="E13" s="82">
        <v>154</v>
      </c>
      <c r="F13" s="82"/>
      <c r="G13" s="82">
        <v>226</v>
      </c>
      <c r="H13" s="82"/>
      <c r="I13" s="83">
        <v>298</v>
      </c>
      <c r="J13" s="82"/>
      <c r="K13" s="82">
        <v>370</v>
      </c>
      <c r="L13" s="72"/>
    </row>
    <row r="14" spans="1:12" x14ac:dyDescent="0.3">
      <c r="A14" s="81">
        <v>11</v>
      </c>
      <c r="B14" s="81"/>
      <c r="C14" s="82">
        <v>83</v>
      </c>
      <c r="D14" s="82"/>
      <c r="E14" s="82">
        <v>155</v>
      </c>
      <c r="F14" s="82"/>
      <c r="G14" s="82">
        <v>227</v>
      </c>
      <c r="H14" s="82"/>
      <c r="I14" s="82">
        <v>299</v>
      </c>
      <c r="J14" s="82"/>
      <c r="K14" s="82">
        <v>371</v>
      </c>
      <c r="L14" s="72"/>
    </row>
    <row r="15" spans="1:12" x14ac:dyDescent="0.3">
      <c r="A15" s="81">
        <v>12</v>
      </c>
      <c r="B15" s="81"/>
      <c r="C15" s="82">
        <v>84</v>
      </c>
      <c r="D15" s="82"/>
      <c r="E15" s="82">
        <v>156</v>
      </c>
      <c r="F15" s="82"/>
      <c r="G15" s="82">
        <v>228</v>
      </c>
      <c r="H15" s="82"/>
      <c r="I15" s="83">
        <v>300</v>
      </c>
      <c r="J15" s="82"/>
      <c r="K15" s="82">
        <v>372</v>
      </c>
      <c r="L15" s="72"/>
    </row>
    <row r="16" spans="1:12" x14ac:dyDescent="0.3">
      <c r="A16" s="81">
        <v>13</v>
      </c>
      <c r="B16" s="81"/>
      <c r="C16" s="82">
        <v>85</v>
      </c>
      <c r="D16" s="82"/>
      <c r="E16" s="82">
        <v>157</v>
      </c>
      <c r="F16" s="82"/>
      <c r="G16" s="82">
        <v>229</v>
      </c>
      <c r="H16" s="82"/>
      <c r="I16" s="82">
        <v>301</v>
      </c>
      <c r="J16" s="82"/>
      <c r="K16" s="82">
        <v>373</v>
      </c>
      <c r="L16" s="72"/>
    </row>
    <row r="17" spans="1:12" x14ac:dyDescent="0.3">
      <c r="A17" s="81">
        <v>14</v>
      </c>
      <c r="B17" s="81"/>
      <c r="C17" s="82">
        <v>86</v>
      </c>
      <c r="D17" s="82"/>
      <c r="E17" s="82">
        <v>158</v>
      </c>
      <c r="F17" s="82"/>
      <c r="G17" s="82">
        <v>230</v>
      </c>
      <c r="H17" s="82"/>
      <c r="I17" s="83">
        <v>302</v>
      </c>
      <c r="J17" s="82"/>
      <c r="K17" s="82">
        <v>374</v>
      </c>
      <c r="L17" s="72"/>
    </row>
    <row r="18" spans="1:12" x14ac:dyDescent="0.3">
      <c r="A18" s="81">
        <v>15</v>
      </c>
      <c r="B18" s="81"/>
      <c r="C18" s="82">
        <v>87</v>
      </c>
      <c r="D18" s="82"/>
      <c r="E18" s="82">
        <v>159</v>
      </c>
      <c r="F18" s="82"/>
      <c r="G18" s="82">
        <v>231</v>
      </c>
      <c r="H18" s="82"/>
      <c r="I18" s="82">
        <v>303</v>
      </c>
      <c r="J18" s="82"/>
      <c r="K18" s="82">
        <v>375</v>
      </c>
      <c r="L18" s="72"/>
    </row>
    <row r="19" spans="1:12" x14ac:dyDescent="0.3">
      <c r="A19" s="81">
        <v>16</v>
      </c>
      <c r="B19" s="81"/>
      <c r="C19" s="82">
        <v>88</v>
      </c>
      <c r="D19" s="82"/>
      <c r="E19" s="82">
        <v>160</v>
      </c>
      <c r="F19" s="82"/>
      <c r="G19" s="82">
        <v>232</v>
      </c>
      <c r="H19" s="82"/>
      <c r="I19" s="83">
        <v>304</v>
      </c>
      <c r="J19" s="82"/>
      <c r="K19" s="82">
        <v>376</v>
      </c>
      <c r="L19" s="72"/>
    </row>
    <row r="20" spans="1:12" x14ac:dyDescent="0.3">
      <c r="A20" s="81">
        <v>17</v>
      </c>
      <c r="B20" s="81"/>
      <c r="C20" s="82">
        <v>89</v>
      </c>
      <c r="D20" s="82"/>
      <c r="E20" s="82">
        <v>161</v>
      </c>
      <c r="F20" s="82"/>
      <c r="G20" s="82">
        <v>233</v>
      </c>
      <c r="H20" s="82"/>
      <c r="I20" s="82">
        <v>305</v>
      </c>
      <c r="J20" s="82"/>
      <c r="K20" s="82">
        <v>377</v>
      </c>
      <c r="L20" s="72"/>
    </row>
    <row r="21" spans="1:12" x14ac:dyDescent="0.3">
      <c r="A21" s="81">
        <v>18</v>
      </c>
      <c r="B21" s="81"/>
      <c r="C21" s="82">
        <v>90</v>
      </c>
      <c r="D21" s="82"/>
      <c r="E21" s="82">
        <v>162</v>
      </c>
      <c r="F21" s="82"/>
      <c r="G21" s="82">
        <v>234</v>
      </c>
      <c r="H21" s="82"/>
      <c r="I21" s="83">
        <v>306</v>
      </c>
      <c r="J21" s="82"/>
      <c r="K21" s="82">
        <v>378</v>
      </c>
      <c r="L21" s="72"/>
    </row>
    <row r="22" spans="1:12" x14ac:dyDescent="0.3">
      <c r="A22" s="81">
        <v>19</v>
      </c>
      <c r="B22" s="81"/>
      <c r="C22" s="82">
        <v>91</v>
      </c>
      <c r="D22" s="82"/>
      <c r="E22" s="82">
        <v>163</v>
      </c>
      <c r="F22" s="82"/>
      <c r="G22" s="82">
        <v>235</v>
      </c>
      <c r="H22" s="82"/>
      <c r="I22" s="82">
        <v>307</v>
      </c>
      <c r="J22" s="82"/>
      <c r="K22" s="82">
        <v>379</v>
      </c>
      <c r="L22" s="72"/>
    </row>
    <row r="23" spans="1:12" x14ac:dyDescent="0.3">
      <c r="A23" s="81">
        <v>20</v>
      </c>
      <c r="B23" s="81"/>
      <c r="C23" s="82">
        <v>92</v>
      </c>
      <c r="D23" s="82"/>
      <c r="E23" s="82">
        <v>164</v>
      </c>
      <c r="F23" s="82"/>
      <c r="G23" s="82">
        <v>236</v>
      </c>
      <c r="H23" s="82"/>
      <c r="I23" s="83">
        <v>308</v>
      </c>
      <c r="J23" s="82"/>
      <c r="K23" s="82">
        <v>380</v>
      </c>
      <c r="L23" s="72"/>
    </row>
    <row r="24" spans="1:12" x14ac:dyDescent="0.3">
      <c r="A24" s="81">
        <v>21</v>
      </c>
      <c r="B24" s="81"/>
      <c r="C24" s="82">
        <v>93</v>
      </c>
      <c r="D24" s="82"/>
      <c r="E24" s="82">
        <v>165</v>
      </c>
      <c r="F24" s="82"/>
      <c r="G24" s="82">
        <v>237</v>
      </c>
      <c r="H24" s="82"/>
      <c r="I24" s="82">
        <v>309</v>
      </c>
      <c r="J24" s="82"/>
      <c r="K24" s="82">
        <v>381</v>
      </c>
      <c r="L24" s="72"/>
    </row>
    <row r="25" spans="1:12" x14ac:dyDescent="0.3">
      <c r="A25" s="81">
        <v>22</v>
      </c>
      <c r="B25" s="81"/>
      <c r="C25" s="82">
        <v>94</v>
      </c>
      <c r="D25" s="82"/>
      <c r="E25" s="82">
        <v>166</v>
      </c>
      <c r="F25" s="82"/>
      <c r="G25" s="82">
        <v>238</v>
      </c>
      <c r="H25" s="82"/>
      <c r="I25" s="83">
        <v>310</v>
      </c>
      <c r="J25" s="82"/>
      <c r="K25" s="82">
        <v>382</v>
      </c>
      <c r="L25" s="72"/>
    </row>
    <row r="26" spans="1:12" x14ac:dyDescent="0.3">
      <c r="A26" s="81">
        <v>23</v>
      </c>
      <c r="B26" s="81"/>
      <c r="C26" s="82">
        <v>95</v>
      </c>
      <c r="D26" s="81"/>
      <c r="E26" s="82">
        <v>167</v>
      </c>
      <c r="F26" s="81"/>
      <c r="G26" s="82">
        <v>239</v>
      </c>
      <c r="H26" s="85"/>
      <c r="I26" s="82">
        <v>311</v>
      </c>
      <c r="J26" s="84"/>
      <c r="K26" s="82">
        <v>383</v>
      </c>
      <c r="L26" s="72"/>
    </row>
    <row r="27" spans="1:12" x14ac:dyDescent="0.3">
      <c r="A27" s="81">
        <v>24</v>
      </c>
      <c r="B27" s="81"/>
      <c r="C27" s="82">
        <v>96</v>
      </c>
      <c r="D27" s="81"/>
      <c r="E27" s="82">
        <v>168</v>
      </c>
      <c r="F27" s="81"/>
      <c r="G27" s="82">
        <v>240</v>
      </c>
      <c r="H27" s="85"/>
      <c r="I27" s="83">
        <v>312</v>
      </c>
      <c r="J27" s="84"/>
      <c r="K27" s="82">
        <v>384</v>
      </c>
      <c r="L27" s="72"/>
    </row>
    <row r="28" spans="1:12" x14ac:dyDescent="0.3">
      <c r="A28" s="81">
        <v>25</v>
      </c>
      <c r="B28" s="81"/>
      <c r="C28" s="82">
        <v>97</v>
      </c>
      <c r="D28" s="81"/>
      <c r="E28" s="82">
        <v>169</v>
      </c>
      <c r="F28" s="81"/>
      <c r="G28" s="82">
        <v>241</v>
      </c>
      <c r="H28" s="85"/>
      <c r="I28" s="82">
        <v>313</v>
      </c>
      <c r="J28" s="84"/>
      <c r="K28" s="82">
        <v>385</v>
      </c>
      <c r="L28" s="72"/>
    </row>
    <row r="29" spans="1:12" x14ac:dyDescent="0.3">
      <c r="A29" s="81">
        <v>26</v>
      </c>
      <c r="B29" s="81"/>
      <c r="C29" s="82">
        <v>98</v>
      </c>
      <c r="D29" s="81"/>
      <c r="E29" s="82">
        <v>170</v>
      </c>
      <c r="F29" s="81"/>
      <c r="G29" s="82">
        <v>242</v>
      </c>
      <c r="H29" s="85"/>
      <c r="I29" s="83">
        <v>314</v>
      </c>
      <c r="J29" s="84"/>
      <c r="K29" s="82">
        <v>386</v>
      </c>
      <c r="L29" s="72"/>
    </row>
    <row r="30" spans="1:12" x14ac:dyDescent="0.3">
      <c r="A30" s="81">
        <v>27</v>
      </c>
      <c r="B30" s="81"/>
      <c r="C30" s="82">
        <v>99</v>
      </c>
      <c r="D30" s="81"/>
      <c r="E30" s="82">
        <v>171</v>
      </c>
      <c r="F30" s="81"/>
      <c r="G30" s="82">
        <v>243</v>
      </c>
      <c r="H30" s="85"/>
      <c r="I30" s="82">
        <v>315</v>
      </c>
      <c r="J30" s="84"/>
      <c r="K30" s="82">
        <v>387</v>
      </c>
      <c r="L30" s="72"/>
    </row>
    <row r="31" spans="1:12" x14ac:dyDescent="0.3">
      <c r="A31" s="81">
        <v>28</v>
      </c>
      <c r="B31" s="81"/>
      <c r="C31" s="82">
        <v>100</v>
      </c>
      <c r="D31" s="81"/>
      <c r="E31" s="82">
        <v>172</v>
      </c>
      <c r="F31" s="81"/>
      <c r="G31" s="82">
        <v>244</v>
      </c>
      <c r="H31" s="85"/>
      <c r="I31" s="83">
        <v>316</v>
      </c>
      <c r="J31" s="84"/>
      <c r="K31" s="82">
        <v>388</v>
      </c>
      <c r="L31" s="72"/>
    </row>
    <row r="32" spans="1:12" x14ac:dyDescent="0.3">
      <c r="A32" s="81">
        <v>29</v>
      </c>
      <c r="B32" s="81"/>
      <c r="C32" s="82">
        <v>101</v>
      </c>
      <c r="D32" s="81"/>
      <c r="E32" s="82">
        <v>173</v>
      </c>
      <c r="F32" s="81"/>
      <c r="G32" s="82">
        <v>245</v>
      </c>
      <c r="H32" s="85"/>
      <c r="I32" s="82">
        <v>317</v>
      </c>
      <c r="J32" s="84"/>
      <c r="K32" s="82">
        <v>389</v>
      </c>
      <c r="L32" s="72"/>
    </row>
    <row r="33" spans="1:12" x14ac:dyDescent="0.3">
      <c r="A33" s="81">
        <v>30</v>
      </c>
      <c r="B33" s="81"/>
      <c r="C33" s="82">
        <v>102</v>
      </c>
      <c r="D33" s="81"/>
      <c r="E33" s="82">
        <v>174</v>
      </c>
      <c r="F33" s="81"/>
      <c r="G33" s="82">
        <v>246</v>
      </c>
      <c r="H33" s="85"/>
      <c r="I33" s="83">
        <v>318</v>
      </c>
      <c r="J33" s="84"/>
      <c r="K33" s="82">
        <v>390</v>
      </c>
      <c r="L33" s="72"/>
    </row>
    <row r="34" spans="1:12" x14ac:dyDescent="0.3">
      <c r="A34" s="81">
        <v>31</v>
      </c>
      <c r="B34" s="81"/>
      <c r="C34" s="82">
        <v>103</v>
      </c>
      <c r="D34" s="86"/>
      <c r="E34" s="82">
        <v>175</v>
      </c>
      <c r="F34" s="86"/>
      <c r="G34" s="82">
        <v>247</v>
      </c>
      <c r="H34" s="87"/>
      <c r="I34" s="82">
        <v>319</v>
      </c>
      <c r="J34" s="88"/>
      <c r="K34" s="82">
        <v>391</v>
      </c>
      <c r="L34" s="89"/>
    </row>
    <row r="35" spans="1:12" x14ac:dyDescent="0.3">
      <c r="A35" s="81">
        <v>32</v>
      </c>
      <c r="B35" s="81"/>
      <c r="C35" s="82">
        <v>104</v>
      </c>
      <c r="D35" s="86"/>
      <c r="E35" s="82">
        <v>176</v>
      </c>
      <c r="F35" s="86"/>
      <c r="G35" s="82">
        <v>248</v>
      </c>
      <c r="H35" s="90"/>
      <c r="I35" s="83">
        <v>320</v>
      </c>
      <c r="J35" s="91"/>
      <c r="K35" s="82">
        <v>392</v>
      </c>
      <c r="L35" s="91"/>
    </row>
    <row r="36" spans="1:12" x14ac:dyDescent="0.3">
      <c r="A36" s="81">
        <v>33</v>
      </c>
      <c r="B36" s="81"/>
      <c r="C36" s="82">
        <v>105</v>
      </c>
      <c r="D36" s="86"/>
      <c r="E36" s="82">
        <v>177</v>
      </c>
      <c r="F36" s="86"/>
      <c r="G36" s="82">
        <v>249</v>
      </c>
      <c r="H36" s="92"/>
      <c r="I36" s="82">
        <v>321</v>
      </c>
      <c r="J36" s="93"/>
      <c r="K36" s="82">
        <v>393</v>
      </c>
      <c r="L36" s="93"/>
    </row>
    <row r="37" spans="1:12" x14ac:dyDescent="0.3">
      <c r="A37" s="81">
        <v>34</v>
      </c>
      <c r="B37" s="81"/>
      <c r="C37" s="82">
        <v>106</v>
      </c>
      <c r="D37" s="81"/>
      <c r="E37" s="82">
        <v>178</v>
      </c>
      <c r="F37" s="81"/>
      <c r="G37" s="82">
        <v>250</v>
      </c>
      <c r="H37" s="81"/>
      <c r="I37" s="83">
        <v>322</v>
      </c>
      <c r="J37" s="89"/>
      <c r="K37" s="82">
        <v>394</v>
      </c>
      <c r="L37" s="81"/>
    </row>
    <row r="38" spans="1:12" x14ac:dyDescent="0.3">
      <c r="A38" s="81">
        <v>35</v>
      </c>
      <c r="B38" s="81"/>
      <c r="C38" s="82">
        <v>107</v>
      </c>
      <c r="D38" s="81"/>
      <c r="E38" s="82">
        <v>179</v>
      </c>
      <c r="F38" s="81"/>
      <c r="G38" s="82">
        <v>251</v>
      </c>
      <c r="H38" s="81"/>
      <c r="I38" s="82">
        <v>323</v>
      </c>
      <c r="J38" s="89"/>
      <c r="K38" s="82">
        <v>395</v>
      </c>
      <c r="L38" s="81"/>
    </row>
    <row r="39" spans="1:12" x14ac:dyDescent="0.3">
      <c r="A39" s="81">
        <v>36</v>
      </c>
      <c r="B39" s="81"/>
      <c r="C39" s="82">
        <v>108</v>
      </c>
      <c r="D39" s="81"/>
      <c r="E39" s="82">
        <v>180</v>
      </c>
      <c r="F39" s="81"/>
      <c r="G39" s="82">
        <v>252</v>
      </c>
      <c r="H39" s="81"/>
      <c r="I39" s="83">
        <v>324</v>
      </c>
      <c r="J39" s="89"/>
      <c r="K39" s="82">
        <v>396</v>
      </c>
      <c r="L39" s="81"/>
    </row>
    <row r="40" spans="1:12" x14ac:dyDescent="0.3">
      <c r="A40" s="81">
        <v>37</v>
      </c>
      <c r="B40" s="81"/>
      <c r="C40" s="82">
        <v>109</v>
      </c>
      <c r="D40" s="81"/>
      <c r="E40" s="82">
        <v>181</v>
      </c>
      <c r="F40" s="81"/>
      <c r="G40" s="82">
        <v>253</v>
      </c>
      <c r="H40" s="81"/>
      <c r="I40" s="82">
        <v>325</v>
      </c>
      <c r="J40" s="89"/>
      <c r="K40" s="82">
        <v>397</v>
      </c>
      <c r="L40" s="81"/>
    </row>
    <row r="41" spans="1:12" x14ac:dyDescent="0.3">
      <c r="A41" s="81">
        <v>38</v>
      </c>
      <c r="B41" s="81"/>
      <c r="C41" s="82">
        <v>110</v>
      </c>
      <c r="D41" s="81"/>
      <c r="E41" s="82">
        <v>182</v>
      </c>
      <c r="F41" s="81"/>
      <c r="G41" s="82">
        <v>254</v>
      </c>
      <c r="H41" s="81"/>
      <c r="I41" s="83">
        <v>326</v>
      </c>
      <c r="J41" s="89"/>
      <c r="K41" s="82">
        <v>398</v>
      </c>
      <c r="L41" s="81"/>
    </row>
    <row r="42" spans="1:12" x14ac:dyDescent="0.3">
      <c r="A42" s="81">
        <v>39</v>
      </c>
      <c r="B42" s="81"/>
      <c r="C42" s="82">
        <v>111</v>
      </c>
      <c r="D42" s="81"/>
      <c r="E42" s="82">
        <v>183</v>
      </c>
      <c r="F42" s="81"/>
      <c r="G42" s="82">
        <v>255</v>
      </c>
      <c r="H42" s="81"/>
      <c r="I42" s="82">
        <v>327</v>
      </c>
      <c r="J42" s="89"/>
      <c r="K42" s="82">
        <v>399</v>
      </c>
      <c r="L42" s="81"/>
    </row>
    <row r="43" spans="1:12" x14ac:dyDescent="0.3">
      <c r="A43" s="81">
        <v>40</v>
      </c>
      <c r="B43" s="81"/>
      <c r="C43" s="82">
        <v>112</v>
      </c>
      <c r="D43" s="81"/>
      <c r="E43" s="82">
        <v>184</v>
      </c>
      <c r="F43" s="81"/>
      <c r="G43" s="82">
        <v>256</v>
      </c>
      <c r="H43" s="81"/>
      <c r="I43" s="83">
        <v>328</v>
      </c>
      <c r="J43" s="89"/>
      <c r="K43" s="82">
        <v>400</v>
      </c>
      <c r="L43" s="81"/>
    </row>
    <row r="44" spans="1:12" x14ac:dyDescent="0.3">
      <c r="A44" s="81">
        <v>41</v>
      </c>
      <c r="B44" s="81"/>
      <c r="C44" s="82">
        <v>113</v>
      </c>
      <c r="D44" s="81"/>
      <c r="E44" s="82">
        <v>185</v>
      </c>
      <c r="F44" s="81"/>
      <c r="G44" s="82">
        <v>257</v>
      </c>
      <c r="H44" s="81"/>
      <c r="I44" s="82">
        <v>329</v>
      </c>
      <c r="J44" s="89"/>
      <c r="K44" s="82">
        <v>401</v>
      </c>
      <c r="L44" s="81"/>
    </row>
    <row r="45" spans="1:12" x14ac:dyDescent="0.3">
      <c r="A45" s="81">
        <v>42</v>
      </c>
      <c r="B45" s="81"/>
      <c r="C45" s="82">
        <v>114</v>
      </c>
      <c r="D45" s="81"/>
      <c r="E45" s="82">
        <v>186</v>
      </c>
      <c r="F45" s="81"/>
      <c r="G45" s="82">
        <v>258</v>
      </c>
      <c r="H45" s="81"/>
      <c r="I45" s="83">
        <v>330</v>
      </c>
      <c r="J45" s="89"/>
      <c r="K45" s="82">
        <v>402</v>
      </c>
      <c r="L45" s="81"/>
    </row>
    <row r="46" spans="1:12" x14ac:dyDescent="0.3">
      <c r="A46" s="81">
        <v>43</v>
      </c>
      <c r="B46" s="81"/>
      <c r="C46" s="82">
        <v>115</v>
      </c>
      <c r="D46" s="81"/>
      <c r="E46" s="82">
        <v>187</v>
      </c>
      <c r="F46" s="81"/>
      <c r="G46" s="82">
        <v>259</v>
      </c>
      <c r="H46" s="81"/>
      <c r="I46" s="82">
        <v>331</v>
      </c>
      <c r="J46" s="89"/>
      <c r="K46" s="82">
        <v>403</v>
      </c>
      <c r="L46" s="81"/>
    </row>
    <row r="47" spans="1:12" x14ac:dyDescent="0.3">
      <c r="A47" s="81">
        <v>44</v>
      </c>
      <c r="B47" s="81"/>
      <c r="C47" s="82">
        <v>116</v>
      </c>
      <c r="D47" s="81"/>
      <c r="E47" s="82">
        <v>188</v>
      </c>
      <c r="F47" s="81"/>
      <c r="G47" s="82">
        <v>260</v>
      </c>
      <c r="H47" s="81"/>
      <c r="I47" s="83">
        <v>332</v>
      </c>
      <c r="J47" s="89"/>
      <c r="K47" s="82">
        <v>404</v>
      </c>
      <c r="L47" s="81"/>
    </row>
    <row r="48" spans="1:12" x14ac:dyDescent="0.3">
      <c r="A48" s="81">
        <v>45</v>
      </c>
      <c r="B48" s="81"/>
      <c r="C48" s="82">
        <v>117</v>
      </c>
      <c r="D48" s="81"/>
      <c r="E48" s="82">
        <v>189</v>
      </c>
      <c r="F48" s="81"/>
      <c r="G48" s="82">
        <v>261</v>
      </c>
      <c r="H48" s="81"/>
      <c r="I48" s="82">
        <v>333</v>
      </c>
      <c r="J48" s="89"/>
      <c r="K48" s="82">
        <v>405</v>
      </c>
      <c r="L48" s="81"/>
    </row>
    <row r="49" spans="1:12" x14ac:dyDescent="0.3">
      <c r="A49" s="81">
        <v>46</v>
      </c>
      <c r="B49" s="81"/>
      <c r="C49" s="82">
        <v>118</v>
      </c>
      <c r="D49" s="81"/>
      <c r="E49" s="82">
        <v>190</v>
      </c>
      <c r="F49" s="81"/>
      <c r="G49" s="82">
        <v>262</v>
      </c>
      <c r="H49" s="81"/>
      <c r="I49" s="83">
        <v>334</v>
      </c>
      <c r="J49" s="89"/>
      <c r="K49" s="82">
        <v>406</v>
      </c>
      <c r="L49" s="81"/>
    </row>
    <row r="50" spans="1:12" x14ac:dyDescent="0.3">
      <c r="A50" s="81">
        <v>47</v>
      </c>
      <c r="B50" s="81"/>
      <c r="C50" s="82">
        <v>119</v>
      </c>
      <c r="D50" s="81"/>
      <c r="E50" s="82">
        <v>191</v>
      </c>
      <c r="F50" s="81"/>
      <c r="G50" s="82">
        <v>263</v>
      </c>
      <c r="H50" s="81"/>
      <c r="I50" s="82">
        <v>335</v>
      </c>
      <c r="J50" s="89"/>
      <c r="K50" s="82">
        <v>407</v>
      </c>
      <c r="L50" s="81"/>
    </row>
    <row r="51" spans="1:12" x14ac:dyDescent="0.3">
      <c r="A51" s="81">
        <v>48</v>
      </c>
      <c r="B51" s="81"/>
      <c r="C51" s="82">
        <v>120</v>
      </c>
      <c r="D51" s="81"/>
      <c r="E51" s="82">
        <v>192</v>
      </c>
      <c r="F51" s="81"/>
      <c r="G51" s="82">
        <v>264</v>
      </c>
      <c r="H51" s="81"/>
      <c r="I51" s="83">
        <v>336</v>
      </c>
      <c r="J51" s="89"/>
      <c r="K51" s="82">
        <v>408</v>
      </c>
      <c r="L51" s="81"/>
    </row>
    <row r="52" spans="1:12" x14ac:dyDescent="0.3">
      <c r="A52" s="81">
        <v>49</v>
      </c>
      <c r="B52" s="81"/>
      <c r="C52" s="82">
        <v>121</v>
      </c>
      <c r="D52" s="81"/>
      <c r="E52" s="82">
        <v>193</v>
      </c>
      <c r="F52" s="81"/>
      <c r="G52" s="82">
        <v>265</v>
      </c>
      <c r="H52" s="81"/>
      <c r="I52" s="82">
        <v>337</v>
      </c>
      <c r="J52" s="89"/>
      <c r="K52" s="82">
        <v>409</v>
      </c>
      <c r="L52" s="81"/>
    </row>
    <row r="53" spans="1:12" x14ac:dyDescent="0.3">
      <c r="A53" s="81">
        <v>50</v>
      </c>
      <c r="B53" s="81"/>
      <c r="C53" s="82">
        <v>122</v>
      </c>
      <c r="D53" s="81"/>
      <c r="E53" s="82">
        <v>194</v>
      </c>
      <c r="F53" s="81"/>
      <c r="G53" s="82">
        <v>266</v>
      </c>
      <c r="H53" s="81"/>
      <c r="I53" s="83">
        <v>338</v>
      </c>
      <c r="J53" s="89"/>
      <c r="K53" s="82">
        <v>410</v>
      </c>
      <c r="L53" s="81"/>
    </row>
    <row r="54" spans="1:12" x14ac:dyDescent="0.3">
      <c r="A54" s="81">
        <v>51</v>
      </c>
      <c r="B54" s="81"/>
      <c r="C54" s="82">
        <v>123</v>
      </c>
      <c r="D54" s="81"/>
      <c r="E54" s="82">
        <v>195</v>
      </c>
      <c r="F54" s="81"/>
      <c r="G54" s="82">
        <v>267</v>
      </c>
      <c r="H54" s="81"/>
      <c r="I54" s="82">
        <v>339</v>
      </c>
      <c r="J54" s="89"/>
      <c r="K54" s="82">
        <v>411</v>
      </c>
      <c r="L54" s="81"/>
    </row>
    <row r="55" spans="1:12" x14ac:dyDescent="0.3">
      <c r="A55" s="81">
        <v>52</v>
      </c>
      <c r="B55" s="81"/>
      <c r="C55" s="82">
        <v>124</v>
      </c>
      <c r="D55" s="81"/>
      <c r="E55" s="82">
        <v>196</v>
      </c>
      <c r="F55" s="81"/>
      <c r="G55" s="82">
        <v>268</v>
      </c>
      <c r="H55" s="81"/>
      <c r="I55" s="83">
        <v>340</v>
      </c>
      <c r="J55" s="89"/>
      <c r="K55" s="82">
        <v>412</v>
      </c>
      <c r="L55" s="81"/>
    </row>
    <row r="56" spans="1:12" x14ac:dyDescent="0.3">
      <c r="A56" s="81">
        <v>53</v>
      </c>
      <c r="B56" s="81"/>
      <c r="C56" s="82">
        <v>125</v>
      </c>
      <c r="D56" s="81"/>
      <c r="E56" s="82">
        <v>197</v>
      </c>
      <c r="F56" s="81"/>
      <c r="G56" s="82">
        <v>269</v>
      </c>
      <c r="H56" s="81"/>
      <c r="I56" s="82">
        <v>341</v>
      </c>
      <c r="J56" s="89"/>
      <c r="K56" s="82">
        <v>413</v>
      </c>
      <c r="L56" s="81"/>
    </row>
    <row r="57" spans="1:12" x14ac:dyDescent="0.3">
      <c r="A57" s="81">
        <v>54</v>
      </c>
      <c r="B57" s="81"/>
      <c r="C57" s="82">
        <v>126</v>
      </c>
      <c r="D57" s="81"/>
      <c r="E57" s="82">
        <v>198</v>
      </c>
      <c r="F57" s="81"/>
      <c r="G57" s="82">
        <v>270</v>
      </c>
      <c r="H57" s="81"/>
      <c r="I57" s="83">
        <v>342</v>
      </c>
      <c r="J57" s="89"/>
      <c r="K57" s="82">
        <v>414</v>
      </c>
      <c r="L57" s="81"/>
    </row>
    <row r="58" spans="1:12" x14ac:dyDescent="0.3">
      <c r="A58" s="81">
        <v>55</v>
      </c>
      <c r="B58" s="81"/>
      <c r="C58" s="82">
        <v>127</v>
      </c>
      <c r="D58" s="81"/>
      <c r="E58" s="82">
        <v>199</v>
      </c>
      <c r="F58" s="81"/>
      <c r="G58" s="82">
        <v>271</v>
      </c>
      <c r="H58" s="81"/>
      <c r="I58" s="82">
        <v>343</v>
      </c>
      <c r="J58" s="89"/>
      <c r="K58" s="82">
        <v>415</v>
      </c>
      <c r="L58" s="81"/>
    </row>
    <row r="59" spans="1:12" x14ac:dyDescent="0.3">
      <c r="A59" s="81">
        <v>56</v>
      </c>
      <c r="B59" s="81"/>
      <c r="C59" s="82">
        <v>128</v>
      </c>
      <c r="D59" s="81"/>
      <c r="E59" s="82">
        <v>200</v>
      </c>
      <c r="F59" s="81"/>
      <c r="G59" s="82">
        <v>272</v>
      </c>
      <c r="H59" s="81"/>
      <c r="I59" s="83">
        <v>344</v>
      </c>
      <c r="J59" s="89"/>
      <c r="K59" s="82">
        <v>416</v>
      </c>
      <c r="L59" s="81"/>
    </row>
    <row r="60" spans="1:12" x14ac:dyDescent="0.3">
      <c r="A60" s="81">
        <v>57</v>
      </c>
      <c r="B60" s="81"/>
      <c r="C60" s="82">
        <v>129</v>
      </c>
      <c r="D60" s="81"/>
      <c r="E60" s="82">
        <v>201</v>
      </c>
      <c r="F60" s="81"/>
      <c r="G60" s="82">
        <v>273</v>
      </c>
      <c r="H60" s="81"/>
      <c r="I60" s="82">
        <v>345</v>
      </c>
      <c r="J60" s="89"/>
      <c r="K60" s="82">
        <v>417</v>
      </c>
      <c r="L60" s="81"/>
    </row>
    <row r="61" spans="1:12" x14ac:dyDescent="0.3">
      <c r="A61" s="81">
        <v>58</v>
      </c>
      <c r="B61" s="81"/>
      <c r="C61" s="82">
        <v>130</v>
      </c>
      <c r="D61" s="81"/>
      <c r="E61" s="82">
        <v>202</v>
      </c>
      <c r="F61" s="81"/>
      <c r="G61" s="82">
        <v>274</v>
      </c>
      <c r="H61" s="81"/>
      <c r="I61" s="83">
        <v>346</v>
      </c>
      <c r="J61" s="89"/>
      <c r="K61" s="82">
        <v>418</v>
      </c>
      <c r="L61" s="81"/>
    </row>
    <row r="62" spans="1:12" x14ac:dyDescent="0.3">
      <c r="A62" s="81">
        <v>59</v>
      </c>
      <c r="C62" s="82">
        <v>131</v>
      </c>
      <c r="E62" s="82">
        <v>203</v>
      </c>
      <c r="G62" s="82">
        <v>275</v>
      </c>
      <c r="I62" s="82">
        <v>347</v>
      </c>
      <c r="K62" s="82">
        <v>419</v>
      </c>
    </row>
    <row r="63" spans="1:12" x14ac:dyDescent="0.3">
      <c r="A63" s="81">
        <v>60</v>
      </c>
      <c r="C63" s="82">
        <v>132</v>
      </c>
      <c r="E63" s="82">
        <v>204</v>
      </c>
      <c r="G63" s="82">
        <v>276</v>
      </c>
      <c r="I63" s="83">
        <v>348</v>
      </c>
      <c r="K63" s="82">
        <v>420</v>
      </c>
    </row>
    <row r="64" spans="1:12" x14ac:dyDescent="0.3">
      <c r="A64" s="81">
        <v>61</v>
      </c>
      <c r="C64" s="82">
        <v>133</v>
      </c>
      <c r="E64" s="82">
        <v>205</v>
      </c>
      <c r="G64" s="82">
        <v>277</v>
      </c>
      <c r="I64" s="82">
        <v>349</v>
      </c>
      <c r="K64" s="82">
        <v>421</v>
      </c>
    </row>
    <row r="65" spans="1:11" x14ac:dyDescent="0.3">
      <c r="A65" s="81">
        <v>62</v>
      </c>
      <c r="C65" s="82">
        <v>134</v>
      </c>
      <c r="E65" s="82">
        <v>206</v>
      </c>
      <c r="G65" s="82">
        <v>278</v>
      </c>
      <c r="I65" s="83">
        <v>350</v>
      </c>
      <c r="K65" s="82">
        <v>422</v>
      </c>
    </row>
    <row r="66" spans="1:11" x14ac:dyDescent="0.3">
      <c r="A66" s="81">
        <v>63</v>
      </c>
      <c r="C66" s="82">
        <v>135</v>
      </c>
      <c r="E66" s="82">
        <v>207</v>
      </c>
      <c r="G66" s="82">
        <v>279</v>
      </c>
      <c r="I66" s="82">
        <v>351</v>
      </c>
      <c r="K66" s="82">
        <v>423</v>
      </c>
    </row>
    <row r="67" spans="1:11" x14ac:dyDescent="0.3">
      <c r="A67" s="81">
        <v>64</v>
      </c>
      <c r="C67" s="82">
        <v>136</v>
      </c>
      <c r="E67" s="82">
        <v>208</v>
      </c>
      <c r="G67" s="82">
        <v>280</v>
      </c>
      <c r="I67" s="83">
        <v>352</v>
      </c>
      <c r="K67" s="82">
        <v>424</v>
      </c>
    </row>
    <row r="68" spans="1:11" x14ac:dyDescent="0.3">
      <c r="A68" s="81">
        <v>65</v>
      </c>
      <c r="C68" s="82">
        <v>137</v>
      </c>
      <c r="E68" s="82">
        <v>209</v>
      </c>
      <c r="G68" s="82">
        <v>281</v>
      </c>
      <c r="I68" s="82">
        <v>353</v>
      </c>
      <c r="K68" s="82">
        <v>425</v>
      </c>
    </row>
    <row r="69" spans="1:11" x14ac:dyDescent="0.3">
      <c r="A69" s="81">
        <v>66</v>
      </c>
      <c r="C69" s="82">
        <v>138</v>
      </c>
      <c r="E69" s="82">
        <v>210</v>
      </c>
      <c r="G69" s="82">
        <v>282</v>
      </c>
      <c r="I69" s="83">
        <v>354</v>
      </c>
      <c r="K69" s="82">
        <v>426</v>
      </c>
    </row>
    <row r="70" spans="1:11" x14ac:dyDescent="0.3">
      <c r="A70" s="81">
        <v>67</v>
      </c>
      <c r="C70" s="82">
        <v>139</v>
      </c>
      <c r="E70" s="82">
        <v>211</v>
      </c>
      <c r="G70" s="82">
        <v>283</v>
      </c>
      <c r="I70" s="82">
        <v>355</v>
      </c>
      <c r="K70" s="82">
        <v>427</v>
      </c>
    </row>
    <row r="71" spans="1:11" x14ac:dyDescent="0.3">
      <c r="A71" s="81">
        <v>68</v>
      </c>
      <c r="C71" s="82">
        <v>140</v>
      </c>
      <c r="E71" s="82">
        <v>212</v>
      </c>
      <c r="G71" s="82">
        <v>284</v>
      </c>
      <c r="I71" s="83">
        <v>356</v>
      </c>
      <c r="K71" s="82">
        <v>428</v>
      </c>
    </row>
    <row r="72" spans="1:11" x14ac:dyDescent="0.3">
      <c r="A72" s="81">
        <v>69</v>
      </c>
      <c r="C72" s="82">
        <v>141</v>
      </c>
      <c r="E72" s="82">
        <v>213</v>
      </c>
      <c r="G72" s="82">
        <v>285</v>
      </c>
      <c r="I72" s="82">
        <v>357</v>
      </c>
      <c r="K72" s="82">
        <v>429</v>
      </c>
    </row>
    <row r="73" spans="1:11" x14ac:dyDescent="0.3">
      <c r="A73" s="81">
        <v>70</v>
      </c>
      <c r="C73" s="82">
        <v>142</v>
      </c>
      <c r="E73" s="82">
        <v>214</v>
      </c>
      <c r="G73" s="82">
        <v>286</v>
      </c>
      <c r="I73" s="83">
        <v>358</v>
      </c>
      <c r="K73" s="82">
        <v>430</v>
      </c>
    </row>
    <row r="74" spans="1:11" x14ac:dyDescent="0.3">
      <c r="A74" s="81">
        <v>71</v>
      </c>
      <c r="C74" s="82">
        <v>143</v>
      </c>
      <c r="E74" s="82">
        <v>215</v>
      </c>
      <c r="G74" s="82">
        <v>287</v>
      </c>
      <c r="I74" s="82">
        <v>359</v>
      </c>
      <c r="K74" s="82">
        <v>431</v>
      </c>
    </row>
    <row r="75" spans="1:11" x14ac:dyDescent="0.3">
      <c r="A75" s="81">
        <v>72</v>
      </c>
      <c r="C75" s="82">
        <v>144</v>
      </c>
      <c r="E75" s="82">
        <v>216</v>
      </c>
      <c r="G75" s="82">
        <v>288</v>
      </c>
      <c r="I75" s="83">
        <v>360</v>
      </c>
      <c r="K75" s="82">
        <v>432</v>
      </c>
    </row>
  </sheetData>
  <mergeCells count="2">
    <mergeCell ref="A1:F1"/>
    <mergeCell ref="J1:L1"/>
  </mergeCells>
  <pageMargins left="0.7" right="0.7" top="1.542" bottom="0.75" header="0.3" footer="0.3"/>
  <pageSetup paperSize="9" scale="62" fitToHeight="0" orientation="portrait" r:id="rId1"/>
  <headerFooter>
    <oddHeader>&amp;L&amp;"-,Bold"&amp;22TAX INVOICE&amp;10
&amp;9SITHEMBE TRANSPORTATION AND PROJECTS  &amp;"-,Regular"
VAT No: 4070272101  
285 Erasmus Ave  
Raslouw AH  
Centuiron  
0157  &amp;R&amp;G</oddHeader>
    <oddFooter>&amp;Laccounts@sithembe.co.za&amp;Cwww.sithembe.co.za&amp;R012 880 3155</oddFooter>
  </headerFooter>
  <rowBreaks count="1" manualBreakCount="1">
    <brk id="75" max="11" man="1"/>
  </rowBreaks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889B8502A024479EA1CF80A2D6DF12" ma:contentTypeVersion="13" ma:contentTypeDescription="Create a new document." ma:contentTypeScope="" ma:versionID="06526292a1cdf05ddd28290d9d5cefc0">
  <xsd:schema xmlns:xsd="http://www.w3.org/2001/XMLSchema" xmlns:xs="http://www.w3.org/2001/XMLSchema" xmlns:p="http://schemas.microsoft.com/office/2006/metadata/properties" xmlns:ns2="f62d4ef4-b04a-4b31-a502-7b4d1ae74549" xmlns:ns3="3e1fb217-3513-4a84-b39a-87d8fab7c42d" targetNamespace="http://schemas.microsoft.com/office/2006/metadata/properties" ma:root="true" ma:fieldsID="7c328d9dc756338876b7a8b0925a4062" ns2:_="" ns3:_="">
    <xsd:import namespace="f62d4ef4-b04a-4b31-a502-7b4d1ae74549"/>
    <xsd:import namespace="3e1fb217-3513-4a84-b39a-87d8fab7c4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2d4ef4-b04a-4b31-a502-7b4d1ae745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84de842-58e0-4cec-8a9b-39016af931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fb217-3513-4a84-b39a-87d8fab7c42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0196097-f8ce-4c33-b49d-df6dd16643e2}" ma:internalName="TaxCatchAll" ma:showField="CatchAllData" ma:web="3e1fb217-3513-4a84-b39a-87d8fab7c4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2d4ef4-b04a-4b31-a502-7b4d1ae74549">
      <Terms xmlns="http://schemas.microsoft.com/office/infopath/2007/PartnerControls"/>
    </lcf76f155ced4ddcb4097134ff3c332f>
    <TaxCatchAll xmlns="3e1fb217-3513-4a84-b39a-87d8fab7c42d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26784D25-4DC5-41F4-B290-495E06B10E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2d4ef4-b04a-4b31-a502-7b4d1ae74549"/>
    <ds:schemaRef ds:uri="3e1fb217-3513-4a84-b39a-87d8fab7c4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81FFD73-7B6A-451A-BCD1-22579B3AE3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7A508E1-F889-4FB4-81BC-717A64C59A25}">
  <ds:schemaRefs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f62d4ef4-b04a-4b31-a502-7b4d1ae74549"/>
    <ds:schemaRef ds:uri="http://purl.org/dc/terms/"/>
    <ds:schemaRef ds:uri="3e1fb217-3513-4a84-b39a-87d8fab7c42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EFA869A8-131E-451C-9FA4-2F16F62B1A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Invoice — Region 5</vt:lpstr>
      <vt:lpstr>Service Notes</vt:lpstr>
      <vt:lpstr>EPWP Employees</vt:lpstr>
      <vt:lpstr>Toilet Co-ordinates</vt:lpstr>
      <vt:lpstr>'EPWP Employees'!Print_Area</vt:lpstr>
      <vt:lpstr>'Invoice — Region 5'!Print_Area</vt:lpstr>
      <vt:lpstr>'Service Notes'!Print_Area</vt:lpstr>
      <vt:lpstr>'Toilet Co-ordinates'!Print_Area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STP Tenders</dc:creator>
  <cp:keywords/>
  <dc:description/>
  <cp:lastModifiedBy>Sithembe Accounts</cp:lastModifiedBy>
  <cp:revision/>
  <cp:lastPrinted>2026-03-30T12:48:39Z</cp:lastPrinted>
  <dcterms:created xsi:type="dcterms:W3CDTF">2015-06-05T18:17:20Z</dcterms:created>
  <dcterms:modified xsi:type="dcterms:W3CDTF">2026-04-02T06:02:45Z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0x0101004F889B8502A024479EA1CF80A2D6DF12</vt:lpwstr>
  </property>
  <property fmtid="{D5CDD505-2E9C-101B-9397-08002B2CF9AE}" pid="3" name="MediaServiceImageTags">
    <vt:lpwstr/>
  </property>
</Properties>
</file>