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3 March/03 - HS 02 2025-26/"/>
    </mc:Choice>
  </mc:AlternateContent>
  <xr:revisionPtr revIDLastSave="1775" documentId="8_{19EF2207-FBE4-4F8A-8F26-2E01F8ACB5F6}" xr6:coauthVersionLast="47" xr6:coauthVersionMax="47" xr10:uidLastSave="{78830DFE-204B-4E2F-8264-20C5136D862B}"/>
  <bookViews>
    <workbookView xWindow="-108" yWindow="-108" windowWidth="23256" windowHeight="13896" tabRatio="870" activeTab="2" xr2:uid="{00000000-000D-0000-FFFF-FFFF00000000}"/>
  </bookViews>
  <sheets>
    <sheet name="Invoice — Region 2" sheetId="14" r:id="rId1"/>
    <sheet name="Service Notes" sheetId="23" r:id="rId2"/>
    <sheet name="Attendance Register" sheetId="27" r:id="rId3"/>
    <sheet name="EPWP Employees" sheetId="26" r:id="rId4"/>
  </sheets>
  <definedNames>
    <definedName name="_xlnm.Print_Area" localSheetId="2">'Attendance Register'!$A$1:$L$64</definedName>
    <definedName name="_xlnm.Print_Area" localSheetId="3">'EPWP Employees'!$A$1:$L$61</definedName>
    <definedName name="_xlnm.Print_Area" localSheetId="0">'Invoice — Region 2'!$A$1:$K$57</definedName>
    <definedName name="_xlnm.Print_Area" localSheetId="1">'Service Notes'!$A$1:$L$51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7" l="1"/>
  <c r="A10" i="27"/>
  <c r="A13" i="27"/>
  <c r="B13" i="27"/>
  <c r="A14" i="27"/>
  <c r="B14" i="27"/>
  <c r="A15" i="27"/>
  <c r="B15" i="27"/>
  <c r="A16" i="27"/>
  <c r="B16" i="27"/>
  <c r="A17" i="27"/>
  <c r="B17" i="27"/>
  <c r="A18" i="27"/>
  <c r="B18" i="27"/>
  <c r="A19" i="27"/>
  <c r="B19" i="27"/>
  <c r="A20" i="27"/>
  <c r="B20" i="27"/>
  <c r="A21" i="27"/>
  <c r="B21" i="27"/>
  <c r="A22" i="27"/>
  <c r="B22" i="27"/>
  <c r="A23" i="27"/>
  <c r="B23" i="27"/>
  <c r="A24" i="27"/>
  <c r="B24" i="27"/>
  <c r="A25" i="27"/>
  <c r="B25" i="27"/>
  <c r="A26" i="27"/>
  <c r="B26" i="27"/>
  <c r="A27" i="27"/>
  <c r="B27" i="27"/>
  <c r="A28" i="27"/>
  <c r="B28" i="27"/>
  <c r="A29" i="27"/>
  <c r="B29" i="27"/>
  <c r="A30" i="27"/>
  <c r="B30" i="27"/>
  <c r="A31" i="27"/>
  <c r="B31" i="27"/>
  <c r="A32" i="27"/>
  <c r="B32" i="27"/>
  <c r="A33" i="27"/>
  <c r="B33" i="27"/>
  <c r="A34" i="27"/>
  <c r="B34" i="27"/>
  <c r="A35" i="27"/>
  <c r="B35" i="27"/>
  <c r="A36" i="27"/>
  <c r="B36" i="27"/>
  <c r="A37" i="27"/>
  <c r="B37" i="27"/>
  <c r="A38" i="27"/>
  <c r="B38" i="27"/>
  <c r="A39" i="27"/>
  <c r="B39" i="27"/>
  <c r="A40" i="27"/>
  <c r="B40" i="27"/>
  <c r="A41" i="27"/>
  <c r="B41" i="27"/>
  <c r="A42" i="27"/>
  <c r="B42" i="27"/>
  <c r="A43" i="27"/>
  <c r="B43" i="27"/>
  <c r="A44" i="27"/>
  <c r="B44" i="27"/>
  <c r="A45" i="27"/>
  <c r="B45" i="27"/>
  <c r="A46" i="27"/>
  <c r="B46" i="27"/>
  <c r="A47" i="27"/>
  <c r="B47" i="27"/>
  <c r="A48" i="27"/>
  <c r="B48" i="27"/>
  <c r="A49" i="27"/>
  <c r="B49" i="27"/>
  <c r="A50" i="27"/>
  <c r="B50" i="27"/>
  <c r="A51" i="27"/>
  <c r="B51" i="27"/>
  <c r="A52" i="27"/>
  <c r="B52" i="27"/>
  <c r="A53" i="27"/>
  <c r="B53" i="27"/>
  <c r="A54" i="27"/>
  <c r="B54" i="27"/>
  <c r="A55" i="27"/>
  <c r="B55" i="27"/>
  <c r="A56" i="27"/>
  <c r="B56" i="27"/>
  <c r="B12" i="27"/>
  <c r="A1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9" i="27"/>
  <c r="L50" i="27"/>
  <c r="L51" i="27"/>
  <c r="L52" i="27"/>
  <c r="L53" i="27"/>
  <c r="L54" i="27"/>
  <c r="L55" i="27"/>
  <c r="L56" i="27"/>
  <c r="D11" i="27"/>
  <c r="E11" i="27"/>
  <c r="F11" i="27"/>
  <c r="G11" i="27"/>
  <c r="H11" i="27"/>
  <c r="I11" i="27"/>
  <c r="J11" i="27"/>
  <c r="K11" i="27"/>
  <c r="C11" i="27"/>
  <c r="L42" i="27"/>
  <c r="L43" i="27"/>
  <c r="L44" i="27"/>
  <c r="L45" i="27"/>
  <c r="L46" i="27"/>
  <c r="L47" i="27"/>
  <c r="L48" i="27"/>
  <c r="L41" i="27"/>
  <c r="L40" i="27"/>
  <c r="L22" i="27"/>
  <c r="L21" i="27"/>
  <c r="L20" i="27"/>
  <c r="L19" i="27"/>
  <c r="L18" i="27"/>
  <c r="L17" i="27"/>
  <c r="L16" i="27"/>
  <c r="L15" i="27"/>
  <c r="L14" i="27"/>
  <c r="L13" i="27"/>
  <c r="L12" i="27"/>
  <c r="I7" i="27"/>
  <c r="I3" i="27"/>
  <c r="I7" i="23"/>
  <c r="L14" i="23"/>
  <c r="I22" i="14" s="1"/>
  <c r="L15" i="23"/>
  <c r="I23" i="14" s="1"/>
  <c r="L16" i="23"/>
  <c r="I24" i="14" s="1"/>
  <c r="L17" i="23"/>
  <c r="I25" i="14" s="1"/>
  <c r="L18" i="23"/>
  <c r="I26" i="14" s="1"/>
  <c r="L19" i="23"/>
  <c r="I27" i="14" s="1"/>
  <c r="L20" i="23"/>
  <c r="I28" i="14" s="1"/>
  <c r="L21" i="23"/>
  <c r="I29" i="14" s="1"/>
  <c r="L22" i="23"/>
  <c r="I30" i="14" s="1"/>
  <c r="L23" i="23"/>
  <c r="I31" i="14" s="1"/>
  <c r="L24" i="23"/>
  <c r="I32" i="14" s="1"/>
  <c r="L25" i="23"/>
  <c r="I33" i="14" s="1"/>
  <c r="L13" i="23"/>
  <c r="I21" i="14" s="1"/>
  <c r="A14" i="23"/>
  <c r="A15" i="23"/>
  <c r="A16" i="23"/>
  <c r="A17" i="23"/>
  <c r="A18" i="23"/>
  <c r="A19" i="23"/>
  <c r="A20" i="23"/>
  <c r="A21" i="23"/>
  <c r="A22" i="23"/>
  <c r="A23" i="23"/>
  <c r="A24" i="23"/>
  <c r="A25" i="23"/>
  <c r="A13" i="23"/>
  <c r="I3" i="23"/>
  <c r="E37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21" i="14"/>
  <c r="D37" i="14"/>
  <c r="K4" i="14"/>
  <c r="I4" i="27" s="1"/>
  <c r="J35" i="14"/>
  <c r="H35" i="14"/>
  <c r="G35" i="14"/>
  <c r="K34" i="14"/>
  <c r="J34" i="14"/>
  <c r="H34" i="14"/>
  <c r="G34" i="14"/>
  <c r="I6" i="27" l="1"/>
  <c r="A63" i="27"/>
  <c r="K6" i="14"/>
  <c r="H33" i="14" s="1"/>
  <c r="I4" i="23"/>
  <c r="F37" i="14"/>
  <c r="K5" i="14"/>
  <c r="I5" i="27" s="1"/>
  <c r="A49" i="14"/>
  <c r="I5" i="23" l="1"/>
  <c r="A43" i="23"/>
  <c r="I6" i="23"/>
  <c r="H21" i="14"/>
  <c r="H22" i="14"/>
  <c r="H26" i="14"/>
  <c r="H25" i="14"/>
  <c r="H29" i="14"/>
  <c r="H30" i="14"/>
  <c r="H31" i="14"/>
  <c r="H23" i="14"/>
  <c r="H24" i="14"/>
  <c r="H27" i="14"/>
  <c r="H28" i="14"/>
  <c r="H32" i="14"/>
  <c r="G26" i="14"/>
  <c r="G25" i="14"/>
  <c r="G23" i="14"/>
  <c r="G22" i="14"/>
  <c r="G33" i="14"/>
  <c r="G24" i="14"/>
  <c r="G27" i="14"/>
  <c r="G32" i="14"/>
  <c r="G29" i="14"/>
  <c r="G31" i="14"/>
  <c r="G28" i="14"/>
  <c r="G30" i="14"/>
  <c r="G21" i="14"/>
  <c r="H37" i="14" l="1"/>
  <c r="J21" i="14" l="1"/>
  <c r="K21" i="14" s="1"/>
  <c r="J22" i="14"/>
  <c r="K22" i="14" s="1"/>
  <c r="J23" i="14" l="1"/>
  <c r="K23" i="14" s="1"/>
  <c r="J24" i="14" l="1"/>
  <c r="K24" i="14" s="1"/>
  <c r="J25" i="14" l="1"/>
  <c r="K25" i="14" s="1"/>
  <c r="J26" i="14" l="1"/>
  <c r="K26" i="14" l="1"/>
  <c r="J27" i="14"/>
  <c r="J28" i="14" l="1"/>
  <c r="K28" i="14" s="1"/>
  <c r="K27" i="14"/>
  <c r="J29" i="14" l="1"/>
  <c r="K29" i="14" l="1"/>
  <c r="J30" i="14"/>
  <c r="J31" i="14" l="1"/>
  <c r="K31" i="14" s="1"/>
  <c r="K30" i="14"/>
  <c r="J33" i="14" l="1"/>
  <c r="K33" i="14" s="1"/>
  <c r="J32" i="14"/>
  <c r="J37" i="14" l="1"/>
  <c r="K37" i="14" s="1"/>
  <c r="K38" i="14" s="1"/>
  <c r="K39" i="14" s="1"/>
  <c r="K32" i="14"/>
  <c r="L37" i="14" s="1"/>
</calcChain>
</file>

<file path=xl/sharedStrings.xml><?xml version="1.0" encoding="utf-8"?>
<sst xmlns="http://schemas.openxmlformats.org/spreadsheetml/2006/main" count="209" uniqueCount="163">
  <si>
    <t>Date:</t>
  </si>
  <si>
    <t>Signature:</t>
  </si>
  <si>
    <t>Tel: 012 880 3155  |  Cell: 073 124 1535  |  Fax: 086 603 7935</t>
  </si>
  <si>
    <t>Invoice Date:</t>
  </si>
  <si>
    <t>Service Period:</t>
  </si>
  <si>
    <t>PO Number:</t>
  </si>
  <si>
    <t>Tax Invoice No:</t>
  </si>
  <si>
    <t>BILL TO:</t>
  </si>
  <si>
    <t>City of Tshwane Metropolitan Municipality</t>
  </si>
  <si>
    <t>Region:</t>
  </si>
  <si>
    <t>Region 2</t>
  </si>
  <si>
    <t>Days in Period:</t>
  </si>
  <si>
    <t>Isivuno House, 330 Madiba Street</t>
  </si>
  <si>
    <t>Hire Rate (excl VAT):</t>
  </si>
  <si>
    <t>#</t>
  </si>
  <si>
    <t>Ward
No</t>
  </si>
  <si>
    <t>Qty
(Units)</t>
  </si>
  <si>
    <t>Days in
Period</t>
  </si>
  <si>
    <t>Rental Amount
(excl VAT)</t>
  </si>
  <si>
    <t>No of
Services</t>
  </si>
  <si>
    <t>Service Amount
(excl VAT)</t>
  </si>
  <si>
    <t>Themba View</t>
  </si>
  <si>
    <t>Marokolong</t>
  </si>
  <si>
    <t>Hammanskraal Ext 4</t>
  </si>
  <si>
    <t>Hammanskraal portion 9 &amp; 10</t>
  </si>
  <si>
    <t>Soshanguve X Buffer C</t>
  </si>
  <si>
    <t>Soshanguve X Buffer D</t>
  </si>
  <si>
    <t>Soshanguve X Buffer Civcon</t>
  </si>
  <si>
    <t>Dali Mpofu</t>
  </si>
  <si>
    <t>Stinkwater</t>
  </si>
  <si>
    <t>Stinkwater Ext 10</t>
  </si>
  <si>
    <t>Chris Hani</t>
  </si>
  <si>
    <t>Phomolong Phase 1</t>
  </si>
  <si>
    <t>Greenfield Ext 14 (Lefika)</t>
  </si>
  <si>
    <t>BANKING DETAILS</t>
  </si>
  <si>
    <t>Ms. Thokozile Maluka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</si>
  <si>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</si>
  <si>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</si>
  <si>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</si>
  <si>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</si>
  <si>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</si>
  <si>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</si>
  <si>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Account No: 1323687157</t>
  </si>
  <si>
    <t>Branch Code: 198765</t>
  </si>
  <si>
    <t>Service Provider Signature:</t>
  </si>
  <si>
    <t>City of Tshwane Official:</t>
  </si>
  <si>
    <t>STP/INV/26/0388</t>
  </si>
  <si>
    <t>Reg No: 2013/029173/07 |  www.sithembe.co.za</t>
  </si>
  <si>
    <t>SITHEMBE TRANSPORTATION &amp; PROJECTS</t>
  </si>
  <si>
    <t>Project Manager</t>
  </si>
  <si>
    <t>Service Rate (excl VAT):</t>
  </si>
  <si>
    <t>Sub Totals</t>
  </si>
  <si>
    <t>Gross Total</t>
  </si>
  <si>
    <t>Human Settlements &amp; Operations and Coordination Deptment</t>
  </si>
  <si>
    <t>PO Box 440, Pretoria, 0001</t>
  </si>
  <si>
    <t>Email: accounts@sithembe.co.za  |  info@sithembe.co.za</t>
  </si>
  <si>
    <r>
      <t xml:space="preserve">VAT No: </t>
    </r>
    <r>
      <rPr>
        <b/>
        <sz val="8"/>
        <color rgb="FF7F8C8D"/>
        <rFont val="Arial"/>
        <family val="2"/>
      </rPr>
      <t>4000142267</t>
    </r>
    <r>
      <rPr>
        <sz val="8"/>
        <color rgb="FF7F8C8D"/>
        <rFont val="Arial"/>
        <family val="2"/>
      </rPr>
      <t xml:space="preserve"> | Vendor No: </t>
    </r>
    <r>
      <rPr>
        <b/>
        <sz val="8"/>
        <color rgb="FF7F8C8D"/>
        <rFont val="Arial"/>
        <family val="2"/>
      </rPr>
      <t>101776</t>
    </r>
  </si>
  <si>
    <t xml:space="preserve">Contract Ref: HHS 02-2021/22 </t>
  </si>
  <si>
    <t>Toilet Relocation</t>
  </si>
  <si>
    <t>Relocation Rate (excl VAT)</t>
  </si>
  <si>
    <t>Relocation Amount (excl VAT)</t>
  </si>
  <si>
    <t>RENTALS &amp; RELOCATIONS</t>
  </si>
  <si>
    <t>Livhu and Musa Enterprise Official:</t>
  </si>
  <si>
    <t>LOCATION</t>
  </si>
  <si>
    <t>TOTAL</t>
  </si>
  <si>
    <t>Project Manager: Ms. Thokozile Maluka</t>
  </si>
  <si>
    <t>FULLNAME</t>
  </si>
  <si>
    <t>ID NUMBER</t>
  </si>
  <si>
    <t>POSITION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</si>
  <si>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</si>
  <si>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</si>
  <si>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</si>
  <si>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</si>
  <si>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</si>
  <si>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</si>
  <si>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</si>
  <si>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</si>
  <si>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</si>
  <si>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</si>
  <si>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</si>
  <si>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</si>
  <si>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</si>
  <si>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</si>
  <si>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</si>
  <si>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</si>
  <si>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</si>
  <si>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</si>
  <si>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</si>
  <si>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NAME 20</t>
  </si>
  <si>
    <t>NAME 21</t>
  </si>
  <si>
    <t>ID NUMBER 1</t>
  </si>
  <si>
    <t>ID NUMBER 2</t>
  </si>
  <si>
    <t>ID NUMBER 3</t>
  </si>
  <si>
    <t>ID NUMBER 4</t>
  </si>
  <si>
    <t>ID NUMBER 5</t>
  </si>
  <si>
    <t>ID NUMBER 6</t>
  </si>
  <si>
    <t>ID NUMBER 7</t>
  </si>
  <si>
    <t>ID NUMBER 8</t>
  </si>
  <si>
    <t>ID NUMBER 9</t>
  </si>
  <si>
    <t>ID NUMBER 10</t>
  </si>
  <si>
    <t>ID NUMBER 11</t>
  </si>
  <si>
    <t>ID NUMBER 12</t>
  </si>
  <si>
    <t>ID NUMBER 13</t>
  </si>
  <si>
    <t>ID NUMBER 14</t>
  </si>
  <si>
    <t>ID NUMBER 15</t>
  </si>
  <si>
    <t>ID NUMBER 16</t>
  </si>
  <si>
    <t>ID NUMBER 17</t>
  </si>
  <si>
    <t>ID NUMBER 18</t>
  </si>
  <si>
    <t>ID NUMBER 19</t>
  </si>
  <si>
    <t>ID NUMBER 20</t>
  </si>
  <si>
    <t>ID NUMBER 21</t>
  </si>
  <si>
    <t>EPWP Employee List</t>
  </si>
  <si>
    <t>Attendance Register</t>
  </si>
  <si>
    <t>Tax Invoice</t>
  </si>
  <si>
    <t>Service Notes</t>
  </si>
  <si>
    <t>NAME 22</t>
  </si>
  <si>
    <t>ID NUMBER 22</t>
  </si>
  <si>
    <t>NAME 23</t>
  </si>
  <si>
    <t>ID NUMBER 23</t>
  </si>
  <si>
    <t>NAME 24</t>
  </si>
  <si>
    <t>ID NUMBER 24</t>
  </si>
  <si>
    <t>NAME 25</t>
  </si>
  <si>
    <t>ID NUMBER 25</t>
  </si>
  <si>
    <t>NAME 26</t>
  </si>
  <si>
    <t>ID NUMBER 26</t>
  </si>
  <si>
    <t>NAME 27</t>
  </si>
  <si>
    <t>ID NUMBER 27</t>
  </si>
  <si>
    <t>NAME 28</t>
  </si>
  <si>
    <t>ID NUMBER 28</t>
  </si>
  <si>
    <t>NAME 29</t>
  </si>
  <si>
    <t>ID NUMBER 29</t>
  </si>
  <si>
    <t>NAME 30</t>
  </si>
  <si>
    <t>ID NUMBER 30</t>
  </si>
  <si>
    <t>NAME 31</t>
  </si>
  <si>
    <t>ID NUMBER 31</t>
  </si>
  <si>
    <t>NAME 32</t>
  </si>
  <si>
    <t>ID NUMBER 32</t>
  </si>
  <si>
    <t>NAME 33</t>
  </si>
  <si>
    <t>ID NUMBER 33</t>
  </si>
  <si>
    <t>NAME 34</t>
  </si>
  <si>
    <t>ID NUMBER 34</t>
  </si>
  <si>
    <t>NAME 35</t>
  </si>
  <si>
    <t>ID NUMBER 35</t>
  </si>
  <si>
    <t>NAME 36</t>
  </si>
  <si>
    <t>ID NUMBER 36</t>
  </si>
  <si>
    <t>NAME 37</t>
  </si>
  <si>
    <t>ID NUMBER 37</t>
  </si>
  <si>
    <t>NAME 38</t>
  </si>
  <si>
    <t>ID NUMBER 38</t>
  </si>
  <si>
    <t>NAME 39</t>
  </si>
  <si>
    <t>ID NUMBER 39</t>
  </si>
  <si>
    <t>NAME 40</t>
  </si>
  <si>
    <t>ID NUMBER 40</t>
  </si>
  <si>
    <t>NAME 41</t>
  </si>
  <si>
    <t>ID NUMBER 41</t>
  </si>
  <si>
    <t>NAME 42</t>
  </si>
  <si>
    <t>ID NUMBER 42</t>
  </si>
  <si>
    <t>NAME 43</t>
  </si>
  <si>
    <t>ID NUMBER 43</t>
  </si>
  <si>
    <t>NAME 44</t>
  </si>
  <si>
    <t>ID NUMBER 44</t>
  </si>
  <si>
    <t>NAME 45</t>
  </si>
  <si>
    <t>ID NUMBER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</si>
</sst>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14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1" fontId="15" fillId="3" borderId="2" xfId="0" applyNumberFormat="1" applyFont="1" applyFill="1" applyBorder="1" applyAlignment="1">
      <alignment horizontal="center" vertical="center"/>
    </xf>
    <xf numFmtId="1" fontId="16" fillId="3" borderId="2" xfId="0" applyNumberFormat="1" applyFont="1" applyFill="1" applyBorder="1" applyAlignment="1">
      <alignment horizontal="center" vertical="center"/>
    </xf>
    <xf numFmtId="4" fontId="17" fillId="3" borderId="2" xfId="0" applyNumberFormat="1" applyFont="1" applyFill="1" applyBorder="1" applyAlignment="1">
      <alignment horizontal="right" vertical="center"/>
    </xf>
    <xf numFmtId="4" fontId="18" fillId="3" borderId="2" xfId="0" applyNumberFormat="1" applyFont="1" applyFill="1" applyBorder="1" applyAlignment="1">
      <alignment horizontal="right" vertical="center"/>
    </xf>
    <xf numFmtId="0" fontId="15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4" fontId="17" fillId="0" borderId="2" xfId="0" applyNumberFormat="1" applyFont="1" applyBorder="1" applyAlignment="1">
      <alignment horizontal="right" vertical="center"/>
    </xf>
    <xf numFmtId="4" fontId="18" fillId="0" borderId="2" xfId="0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24" fillId="0" borderId="0" xfId="0" quotePrefix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14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44" fontId="17" fillId="0" borderId="3" xfId="1" applyFont="1" applyFill="1" applyBorder="1" applyAlignment="1">
      <alignment horizontal="right" vertical="center"/>
    </xf>
    <xf numFmtId="44" fontId="18" fillId="0" borderId="3" xfId="1" applyFont="1" applyFill="1" applyBorder="1" applyAlignment="1">
      <alignment horizontal="right" vertical="center"/>
    </xf>
    <xf numFmtId="0" fontId="22" fillId="4" borderId="8" xfId="0" applyFont="1" applyFill="1" applyBorder="1" applyAlignment="1">
      <alignment horizontal="center" vertical="center" wrapText="1"/>
    </xf>
    <xf numFmtId="0" fontId="25" fillId="4" borderId="0" xfId="0" applyFont="1" applyFill="1"/>
    <xf numFmtId="0" fontId="7" fillId="4" borderId="0" xfId="0" applyFont="1" applyFill="1"/>
    <xf numFmtId="1" fontId="7" fillId="4" borderId="10" xfId="0" applyNumberFormat="1" applyFont="1" applyFill="1" applyBorder="1"/>
    <xf numFmtId="0" fontId="7" fillId="4" borderId="10" xfId="0" applyFont="1" applyFill="1" applyBorder="1"/>
    <xf numFmtId="44" fontId="7" fillId="4" borderId="10" xfId="1" applyFont="1" applyFill="1" applyBorder="1"/>
    <xf numFmtId="44" fontId="7" fillId="4" borderId="10" xfId="0" applyNumberFormat="1" applyFont="1" applyFill="1" applyBorder="1"/>
    <xf numFmtId="44" fontId="27" fillId="6" borderId="10" xfId="0" applyNumberFormat="1" applyFont="1" applyFill="1" applyBorder="1"/>
    <xf numFmtId="0" fontId="23" fillId="0" borderId="0" xfId="0" applyFont="1" applyAlignment="1">
      <alignment horizontal="right" vertical="center"/>
    </xf>
    <xf numFmtId="0" fontId="29" fillId="5" borderId="0" xfId="0" applyFont="1" applyFill="1" applyAlignment="1">
      <alignment horizontal="right" vertical="center"/>
    </xf>
    <xf numFmtId="0" fontId="20" fillId="5" borderId="0" xfId="0" applyFont="1" applyFill="1" applyAlignment="1">
      <alignment vertical="center"/>
    </xf>
    <xf numFmtId="0" fontId="31" fillId="5" borderId="0" xfId="0" applyFont="1" applyFill="1" applyAlignment="1">
      <alignment vertical="center"/>
    </xf>
    <xf numFmtId="0" fontId="35" fillId="0" borderId="0" xfId="0" applyFont="1"/>
    <xf numFmtId="44" fontId="15" fillId="0" borderId="3" xfId="1" applyFont="1" applyBorder="1" applyAlignment="1">
      <alignment horizontal="center" vertical="center"/>
    </xf>
    <xf numFmtId="44" fontId="15" fillId="0" borderId="2" xfId="1" applyFont="1" applyBorder="1" applyAlignment="1">
      <alignment horizontal="center" vertical="center"/>
    </xf>
    <xf numFmtId="44" fontId="15" fillId="3" borderId="2" xfId="1" applyFont="1" applyFill="1" applyBorder="1" applyAlignment="1">
      <alignment horizontal="center" vertical="center"/>
    </xf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36" fillId="0" borderId="0" xfId="0" applyFont="1" applyAlignment="1">
      <alignment horizontal="right" vertical="center"/>
    </xf>
    <xf numFmtId="0" fontId="37" fillId="2" borderId="0" xfId="0" applyFont="1" applyFill="1"/>
    <xf numFmtId="0" fontId="38" fillId="0" borderId="0" xfId="0" applyFont="1"/>
    <xf numFmtId="0" fontId="39" fillId="0" borderId="0" xfId="0" applyFont="1" applyAlignment="1">
      <alignment vertical="center"/>
    </xf>
    <xf numFmtId="0" fontId="40" fillId="0" borderId="0" xfId="0" applyFont="1"/>
    <xf numFmtId="0" fontId="40" fillId="0" borderId="1" xfId="0" applyFont="1" applyBorder="1"/>
    <xf numFmtId="0" fontId="37" fillId="0" borderId="0" xfId="0" applyFont="1"/>
    <xf numFmtId="0" fontId="41" fillId="0" borderId="0" xfId="0" applyFont="1" applyAlignment="1">
      <alignment horizontal="right" vertical="center"/>
    </xf>
    <xf numFmtId="1" fontId="41" fillId="0" borderId="0" xfId="0" applyNumberFormat="1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5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quotePrefix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166" fontId="19" fillId="0" borderId="0" xfId="0" applyNumberFormat="1" applyFont="1"/>
    <xf numFmtId="0" fontId="23" fillId="0" borderId="0" xfId="0" applyFont="1" applyAlignment="1">
      <alignment horizontal="right" vertical="center"/>
    </xf>
    <xf numFmtId="0" fontId="22" fillId="4" borderId="6" xfId="0" applyFont="1" applyFill="1" applyBorder="1" applyAlignment="1">
      <alignment horizontal="right" vertical="center" wrapText="1"/>
    </xf>
    <xf numFmtId="0" fontId="22" fillId="4" borderId="9" xfId="0" applyFont="1" applyFill="1" applyBorder="1" applyAlignment="1">
      <alignment horizontal="right" vertical="center" wrapText="1"/>
    </xf>
    <xf numFmtId="0" fontId="29" fillId="5" borderId="0" xfId="0" applyFont="1" applyFill="1" applyAlignment="1">
      <alignment horizontal="right" vertical="center"/>
    </xf>
    <xf numFmtId="0" fontId="4" fillId="0" borderId="0" xfId="0" applyFont="1"/>
    <xf numFmtId="0" fontId="31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21" fillId="4" borderId="5" xfId="0" applyFont="1" applyFill="1" applyBorder="1" applyAlignment="1">
      <alignment horizontal="center"/>
    </xf>
    <xf numFmtId="0" fontId="22" fillId="4" borderId="4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166" fontId="35" fillId="0" borderId="1" xfId="0" applyNumberFormat="1" applyFont="1" applyBorder="1"/>
    <xf numFmtId="0" fontId="35" fillId="0" borderId="1" xfId="0" applyFont="1" applyBorder="1"/>
    <xf numFmtId="0" fontId="19" fillId="0" borderId="1" xfId="0" applyFont="1" applyBorder="1"/>
    <xf numFmtId="166" fontId="19" fillId="0" borderId="1" xfId="0" applyNumberFormat="1" applyFont="1" applyBorder="1"/>
    <xf numFmtId="0" fontId="20" fillId="5" borderId="0" xfId="0" applyFont="1" applyFill="1" applyAlignment="1">
      <alignment vertical="center"/>
    </xf>
    <xf numFmtId="0" fontId="27" fillId="6" borderId="10" xfId="0" applyFont="1" applyFill="1" applyBorder="1" applyAlignment="1">
      <alignment horizontal="right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0" fillId="0" borderId="0" xfId="0"/>
    <xf numFmtId="0" fontId="24" fillId="0" borderId="0" xfId="0" applyFont="1" applyAlignment="1">
      <alignment horizontal="right" vertical="center"/>
    </xf>
    <xf numFmtId="166" fontId="24" fillId="0" borderId="0" xfId="0" applyNumberFormat="1" applyFont="1" applyAlignment="1">
      <alignment horizontal="right" vertical="center"/>
    </xf>
    <xf numFmtId="0" fontId="24" fillId="0" borderId="0" xfId="0" quotePrefix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19" fillId="0" borderId="0" xfId="0" applyFont="1"/>
    <xf numFmtId="0" fontId="19" fillId="0" borderId="11" xfId="0" applyFont="1" applyBorder="1" applyAlignment="1">
      <alignment vertical="top"/>
    </xf>
    <xf numFmtId="0" fontId="19" fillId="0" borderId="0" xfId="0" applyFont="1" applyAlignment="1">
      <alignment vertical="top"/>
    </xf>
    <xf numFmtId="0" fontId="19" fillId="0" borderId="11" xfId="0" applyFont="1" applyBorder="1"/>
    <xf numFmtId="0" fontId="1" fillId="0" borderId="0" xfId="0" applyFont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M50"/>
  <sheetViews>
    <sheetView showGridLines="0" view="pageBreakPreview" zoomScaleNormal="100" zoomScaleSheetLayoutView="100" workbookViewId="0">
      <selection activeCell="J1" sqref="J1:K1"/>
    </sheetView>
  </sheetViews>
  <sheetFormatPr defaultRowHeight="14.4" x14ac:dyDescent="0.3"/>
  <cols>
    <col min="1" max="1" width="2.33203125" bestFit="1" customWidth="1"/>
    <col min="2" max="2" width="27.88671875" bestFit="1" customWidth="1"/>
    <col min="3" max="4" width="7.77734375" customWidth="1"/>
    <col min="5" max="5" width="8.21875" customWidth="1"/>
    <col min="6" max="6" width="10.109375" bestFit="1" customWidth="1"/>
    <col min="7" max="7" width="7.77734375" customWidth="1"/>
    <col min="8" max="8" width="14.33203125" customWidth="1"/>
    <col min="9" max="9" width="6.77734375" bestFit="1" customWidth="1"/>
    <col min="10" max="10" width="17.21875" bestFit="1" customWidth="1"/>
    <col min="11" max="11" width="21.5546875" customWidth="1"/>
    <col min="12" max="12" width="12.44140625" bestFit="1" customWidth="1"/>
    <col min="13" max="15" width="10.77734375" customWidth="1"/>
  </cols>
  <sheetData>
    <row r="1" spans="1:11" ht="22.8" x14ac:dyDescent="0.3">
      <c r="A1" s="97" t="s">
        <v>48</v>
      </c>
      <c r="B1" s="98"/>
      <c r="C1" s="98"/>
      <c r="D1" s="98"/>
      <c r="E1" s="98"/>
      <c r="F1" s="98"/>
      <c r="G1" s="98"/>
      <c r="H1" s="98"/>
      <c r="I1" s="98"/>
      <c r="J1" s="95" t="s">
        <v>113</v>
      </c>
      <c r="K1" s="95"/>
    </row>
    <row r="2" spans="1:11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99" t="s">
        <v>2</v>
      </c>
      <c r="B3" s="99"/>
      <c r="C3" s="99"/>
      <c r="D3" s="99"/>
      <c r="E3" s="99"/>
      <c r="F3" s="99"/>
      <c r="G3" s="99"/>
      <c r="H3" s="92" t="s">
        <v>6</v>
      </c>
      <c r="I3" s="92"/>
      <c r="J3" s="92"/>
      <c r="K3" s="35" t="s">
        <v>46</v>
      </c>
    </row>
    <row r="4" spans="1:11" x14ac:dyDescent="0.3">
      <c r="A4" s="99" t="s">
        <v>55</v>
      </c>
      <c r="B4" s="99"/>
      <c r="C4" s="99"/>
      <c r="D4" s="99"/>
      <c r="E4" s="99"/>
      <c r="F4" s="99"/>
      <c r="G4" s="99"/>
      <c r="H4" s="92" t="s">
        <v>3</v>
      </c>
      <c r="I4" s="92"/>
      <c r="J4" s="92"/>
      <c r="K4" s="37" t="str">
        <f ca="1">TEXT(DATE(YEAR(TODAY()),MONTH(TODAY()),26),"dd mmmm yyyy")</f>
        <v>26 March 2026</v>
      </c>
    </row>
    <row r="5" spans="1:11" x14ac:dyDescent="0.3">
      <c r="A5" s="99" t="s">
        <v>56</v>
      </c>
      <c r="B5" s="99"/>
      <c r="C5" s="99"/>
      <c r="D5" s="99"/>
      <c r="E5" s="99"/>
      <c r="F5" s="99"/>
      <c r="G5" s="99"/>
      <c r="H5" s="92" t="s">
        <v>4</v>
      </c>
      <c r="I5" s="92"/>
      <c r="J5" s="92"/>
      <c r="K5" s="35" t="str">
        <f ca="1">TEXT(K4,"mmmm YY") &amp; " (" &amp;
TEXT(DATE(YEAR(K4),MONTH(K4)-1,26),"dd mmm") &amp;
" - " &amp;
TEXT(DATE(YEAR(K4),MONTH(K4),25),"dd mmm") &amp;
")"</f>
        <v>March 26 (26 Feb - 25 Mar)</v>
      </c>
    </row>
    <row r="6" spans="1:11" x14ac:dyDescent="0.3">
      <c r="A6" s="99" t="s">
        <v>47</v>
      </c>
      <c r="B6" s="99"/>
      <c r="C6" s="99"/>
      <c r="D6" s="99"/>
      <c r="E6" s="99"/>
      <c r="F6" s="99"/>
      <c r="G6" s="99"/>
      <c r="H6" s="92" t="s">
        <v>11</v>
      </c>
      <c r="I6" s="92"/>
      <c r="J6" s="92"/>
      <c r="K6" s="35">
        <f ca="1">IF(K4="","",K4-DATE(YEAR(K4),MONTH(K4)-1,26))</f>
        <v>28</v>
      </c>
    </row>
    <row r="7" spans="1:11" x14ac:dyDescent="0.3">
      <c r="A7" s="99" t="s">
        <v>57</v>
      </c>
      <c r="B7" s="99"/>
      <c r="C7" s="99"/>
      <c r="D7" s="99"/>
      <c r="E7" s="99"/>
      <c r="F7" s="99"/>
      <c r="G7" s="99"/>
      <c r="H7" s="92" t="s">
        <v>5</v>
      </c>
      <c r="I7" s="92"/>
      <c r="J7" s="92"/>
      <c r="K7" s="38"/>
    </row>
    <row r="8" spans="1:11" x14ac:dyDescent="0.3">
      <c r="A8" s="99"/>
      <c r="B8" s="99"/>
      <c r="C8" s="99"/>
      <c r="D8" s="99"/>
      <c r="E8" s="99"/>
      <c r="F8" s="99"/>
      <c r="G8" s="99"/>
      <c r="H8" s="92"/>
      <c r="I8" s="92"/>
      <c r="J8" s="92"/>
      <c r="K8" s="35"/>
    </row>
    <row r="9" spans="1:11" x14ac:dyDescent="0.3">
      <c r="A9" s="5"/>
      <c r="B9" s="8"/>
      <c r="C9" s="2"/>
      <c r="D9" s="2"/>
      <c r="E9" s="2"/>
      <c r="F9" s="2"/>
      <c r="G9" s="2"/>
      <c r="H9" s="96"/>
      <c r="I9" s="96"/>
      <c r="J9" s="96"/>
      <c r="K9" s="36"/>
    </row>
    <row r="10" spans="1:11" x14ac:dyDescent="0.3">
      <c r="A10" s="111" t="s">
        <v>7</v>
      </c>
      <c r="B10" s="111"/>
      <c r="C10" s="111"/>
      <c r="D10" s="111"/>
      <c r="E10" s="111"/>
      <c r="F10" s="111"/>
      <c r="G10" s="111"/>
      <c r="H10" s="92"/>
      <c r="I10" s="92"/>
      <c r="J10" s="92"/>
      <c r="K10" s="36"/>
    </row>
    <row r="11" spans="1:11" x14ac:dyDescent="0.3">
      <c r="A11" s="112" t="s">
        <v>8</v>
      </c>
      <c r="B11" s="112"/>
      <c r="C11" s="112"/>
      <c r="D11" s="112"/>
      <c r="E11" s="112"/>
      <c r="F11" s="112"/>
      <c r="G11" s="112"/>
      <c r="H11" s="92" t="s">
        <v>9</v>
      </c>
      <c r="I11" s="92"/>
      <c r="J11" s="92"/>
      <c r="K11" s="35" t="s">
        <v>10</v>
      </c>
    </row>
    <row r="12" spans="1:11" x14ac:dyDescent="0.3">
      <c r="A12" s="112" t="s">
        <v>53</v>
      </c>
      <c r="B12" s="112"/>
      <c r="C12" s="112"/>
      <c r="D12" s="112"/>
      <c r="E12" s="112"/>
      <c r="F12" s="112"/>
      <c r="G12" s="112"/>
      <c r="H12" s="92" t="s">
        <v>13</v>
      </c>
      <c r="I12" s="92"/>
      <c r="J12" s="92"/>
      <c r="K12" s="65">
        <v>11.5</v>
      </c>
    </row>
    <row r="13" spans="1:11" x14ac:dyDescent="0.3">
      <c r="A13" s="112" t="s">
        <v>12</v>
      </c>
      <c r="B13" s="112"/>
      <c r="C13" s="112"/>
      <c r="D13" s="112"/>
      <c r="E13" s="112"/>
      <c r="F13" s="112"/>
      <c r="G13" s="112"/>
      <c r="H13" s="92" t="s">
        <v>50</v>
      </c>
      <c r="I13" s="92"/>
      <c r="J13" s="92"/>
      <c r="K13" s="65">
        <v>96.5</v>
      </c>
    </row>
    <row r="14" spans="1:11" x14ac:dyDescent="0.3">
      <c r="A14" s="112" t="s">
        <v>54</v>
      </c>
      <c r="B14" s="112"/>
      <c r="C14" s="112"/>
      <c r="D14" s="112"/>
      <c r="E14" s="112"/>
      <c r="F14" s="112"/>
      <c r="G14" s="112"/>
      <c r="H14" s="92" t="s">
        <v>59</v>
      </c>
      <c r="I14" s="92"/>
      <c r="J14" s="92"/>
      <c r="K14" s="65">
        <v>7</v>
      </c>
    </row>
    <row r="15" spans="1:11" x14ac:dyDescent="0.3">
      <c r="H15" s="92" t="s">
        <v>49</v>
      </c>
      <c r="I15" s="92"/>
      <c r="J15" s="92"/>
      <c r="K15" s="35" t="s">
        <v>35</v>
      </c>
    </row>
    <row r="16" spans="1:11" x14ac:dyDescent="0.3">
      <c r="H16" s="2"/>
      <c r="I16" s="2"/>
      <c r="J16" s="18"/>
      <c r="K16" s="28"/>
    </row>
    <row r="17" spans="1:13" x14ac:dyDescent="0.3">
      <c r="H17" s="2"/>
      <c r="I17" s="2"/>
      <c r="J17" s="18"/>
      <c r="K17" s="28"/>
    </row>
    <row r="18" spans="1:13" x14ac:dyDescent="0.3">
      <c r="H18" s="2"/>
      <c r="I18" s="2"/>
      <c r="J18" s="18"/>
      <c r="K18" s="28"/>
    </row>
    <row r="19" spans="1:13" x14ac:dyDescent="0.3">
      <c r="A19" s="101" t="s">
        <v>14</v>
      </c>
      <c r="B19" s="103" t="s">
        <v>39</v>
      </c>
      <c r="C19" s="103" t="s">
        <v>15</v>
      </c>
      <c r="D19" s="100" t="s">
        <v>61</v>
      </c>
      <c r="E19" s="100"/>
      <c r="F19" s="100"/>
      <c r="G19" s="100"/>
      <c r="H19" s="100"/>
      <c r="I19" s="100" t="s">
        <v>37</v>
      </c>
      <c r="J19" s="100"/>
      <c r="K19" s="93" t="s">
        <v>38</v>
      </c>
    </row>
    <row r="20" spans="1:13" ht="30.6" x14ac:dyDescent="0.3">
      <c r="A20" s="102"/>
      <c r="B20" s="104" t="s">
        <v>39</v>
      </c>
      <c r="C20" s="104"/>
      <c r="D20" s="49" t="s">
        <v>16</v>
      </c>
      <c r="E20" s="49" t="s">
        <v>58</v>
      </c>
      <c r="F20" s="49" t="s">
        <v>60</v>
      </c>
      <c r="G20" s="49" t="s">
        <v>17</v>
      </c>
      <c r="H20" s="49" t="s">
        <v>18</v>
      </c>
      <c r="I20" s="49" t="s">
        <v>19</v>
      </c>
      <c r="J20" s="49" t="s">
        <v>20</v>
      </c>
      <c r="K20" s="94"/>
    </row>
    <row r="21" spans="1:13" x14ac:dyDescent="0.3">
      <c r="A21" s="42">
        <v>1</v>
      </c>
      <c r="B21" s="43" t="s">
        <v>21</v>
      </c>
      <c r="C21" s="44">
        <v>8</v>
      </c>
      <c r="D21" s="45">
        <v>8</v>
      </c>
      <c r="E21" s="45">
        <v>0</v>
      </c>
      <c r="F21" s="62">
        <f>IF(E21="","",E21*$K$14)</f>
        <v>0</v>
      </c>
      <c r="G21" s="46">
        <f ca="1">IF(D21="","",$K$6)</f>
        <v>28</v>
      </c>
      <c r="H21" s="47">
        <f ca="1">IF(D21="","",D21*$K$12*$K$6)</f>
        <v>2576</v>
      </c>
      <c r="I21" s="45">
        <f>'Service Notes'!L13</f>
        <v>9</v>
      </c>
      <c r="J21" s="47">
        <f>IF(D21="","",D21*I21*$K$13)</f>
        <v>6948</v>
      </c>
      <c r="K21" s="48">
        <f ca="1">IF(D21="","",F21+H21+J21)</f>
        <v>9524</v>
      </c>
      <c r="L21" s="66"/>
    </row>
    <row r="22" spans="1:13" x14ac:dyDescent="0.3">
      <c r="A22" s="19">
        <v>2</v>
      </c>
      <c r="B22" s="20" t="s">
        <v>22</v>
      </c>
      <c r="C22" s="21">
        <v>73</v>
      </c>
      <c r="D22" s="22">
        <v>11</v>
      </c>
      <c r="E22" s="22">
        <v>0</v>
      </c>
      <c r="F22" s="62">
        <f t="shared" ref="F22:F33" si="0">IF(E22="","",E22*$K$14)</f>
        <v>0</v>
      </c>
      <c r="G22" s="23">
        <f t="shared" ref="G22:G33" ca="1" si="1">IF(D22="","",$K$6)</f>
        <v>28</v>
      </c>
      <c r="H22" s="47">
        <f t="shared" ref="H22:H32" ca="1" si="2">IF(D22="","",D22*$K$12*$K$6)</f>
        <v>3542</v>
      </c>
      <c r="I22" s="45">
        <f>'Service Notes'!L14</f>
        <v>0</v>
      </c>
      <c r="J22" s="47">
        <f t="shared" ref="J22:J33" si="3">IF(D22="","",D22*I22*$K$13)</f>
        <v>0</v>
      </c>
      <c r="K22" s="48">
        <f t="shared" ref="K22:K33" ca="1" si="4">IF(D22="","",F22+H22+J22)</f>
        <v>3542</v>
      </c>
    </row>
    <row r="23" spans="1:13" x14ac:dyDescent="0.3">
      <c r="A23" s="19">
        <v>3</v>
      </c>
      <c r="B23" s="20" t="s">
        <v>23</v>
      </c>
      <c r="C23" s="21">
        <v>49</v>
      </c>
      <c r="D23" s="22">
        <v>30</v>
      </c>
      <c r="E23" s="22">
        <v>0</v>
      </c>
      <c r="F23" s="62">
        <f t="shared" si="0"/>
        <v>0</v>
      </c>
      <c r="G23" s="23">
        <f t="shared" ca="1" si="1"/>
        <v>28</v>
      </c>
      <c r="H23" s="47">
        <f t="shared" ca="1" si="2"/>
        <v>9660</v>
      </c>
      <c r="I23" s="45">
        <f>'Service Notes'!L15</f>
        <v>0</v>
      </c>
      <c r="J23" s="47">
        <f t="shared" si="3"/>
        <v>0</v>
      </c>
      <c r="K23" s="48">
        <f t="shared" ca="1" si="4"/>
        <v>9660</v>
      </c>
    </row>
    <row r="24" spans="1:13" x14ac:dyDescent="0.3">
      <c r="A24" s="19">
        <v>4</v>
      </c>
      <c r="B24" s="20" t="s">
        <v>24</v>
      </c>
      <c r="C24" s="21">
        <v>49</v>
      </c>
      <c r="D24" s="22">
        <v>160</v>
      </c>
      <c r="E24" s="22">
        <v>0</v>
      </c>
      <c r="F24" s="62">
        <f t="shared" si="0"/>
        <v>0</v>
      </c>
      <c r="G24" s="23">
        <f t="shared" ca="1" si="1"/>
        <v>28</v>
      </c>
      <c r="H24" s="47">
        <f t="shared" ca="1" si="2"/>
        <v>51520</v>
      </c>
      <c r="I24" s="45">
        <f>'Service Notes'!L16</f>
        <v>0</v>
      </c>
      <c r="J24" s="47">
        <f t="shared" si="3"/>
        <v>0</v>
      </c>
      <c r="K24" s="48">
        <f t="shared" ca="1" si="4"/>
        <v>51520</v>
      </c>
      <c r="M24" s="7"/>
    </row>
    <row r="25" spans="1:13" x14ac:dyDescent="0.3">
      <c r="A25" s="19">
        <v>5</v>
      </c>
      <c r="B25" s="20" t="s">
        <v>25</v>
      </c>
      <c r="C25" s="21">
        <v>95</v>
      </c>
      <c r="D25" s="22">
        <v>50</v>
      </c>
      <c r="E25" s="22">
        <v>0</v>
      </c>
      <c r="F25" s="62">
        <f t="shared" si="0"/>
        <v>0</v>
      </c>
      <c r="G25" s="23">
        <f t="shared" ca="1" si="1"/>
        <v>28</v>
      </c>
      <c r="H25" s="47">
        <f t="shared" ca="1" si="2"/>
        <v>16100</v>
      </c>
      <c r="I25" s="45">
        <f>'Service Notes'!L17</f>
        <v>0</v>
      </c>
      <c r="J25" s="47">
        <f t="shared" si="3"/>
        <v>0</v>
      </c>
      <c r="K25" s="48">
        <f t="shared" ca="1" si="4"/>
        <v>16100</v>
      </c>
    </row>
    <row r="26" spans="1:13" x14ac:dyDescent="0.3">
      <c r="A26" s="19">
        <v>6</v>
      </c>
      <c r="B26" s="20" t="s">
        <v>26</v>
      </c>
      <c r="C26" s="21">
        <v>95</v>
      </c>
      <c r="D26" s="22">
        <v>60</v>
      </c>
      <c r="E26" s="22">
        <v>0</v>
      </c>
      <c r="F26" s="62">
        <f t="shared" si="0"/>
        <v>0</v>
      </c>
      <c r="G26" s="23">
        <f t="shared" ca="1" si="1"/>
        <v>28</v>
      </c>
      <c r="H26" s="47">
        <f t="shared" ca="1" si="2"/>
        <v>19320</v>
      </c>
      <c r="I26" s="45">
        <f>'Service Notes'!L18</f>
        <v>1</v>
      </c>
      <c r="J26" s="47">
        <f t="shared" si="3"/>
        <v>5790</v>
      </c>
      <c r="K26" s="48">
        <f t="shared" ca="1" si="4"/>
        <v>25110</v>
      </c>
    </row>
    <row r="27" spans="1:13" x14ac:dyDescent="0.3">
      <c r="A27" s="19">
        <v>7</v>
      </c>
      <c r="B27" s="20" t="s">
        <v>27</v>
      </c>
      <c r="C27" s="21">
        <v>95</v>
      </c>
      <c r="D27" s="22">
        <v>10</v>
      </c>
      <c r="E27" s="22">
        <v>0</v>
      </c>
      <c r="F27" s="62">
        <f t="shared" si="0"/>
        <v>0</v>
      </c>
      <c r="G27" s="23">
        <f t="shared" ca="1" si="1"/>
        <v>28</v>
      </c>
      <c r="H27" s="47">
        <f t="shared" ca="1" si="2"/>
        <v>3220</v>
      </c>
      <c r="I27" s="45">
        <f>'Service Notes'!L19</f>
        <v>0</v>
      </c>
      <c r="J27" s="47">
        <f>IF(D27="","",D27*I27*$K$13)</f>
        <v>0</v>
      </c>
      <c r="K27" s="48">
        <f t="shared" ca="1" si="4"/>
        <v>3220</v>
      </c>
    </row>
    <row r="28" spans="1:13" x14ac:dyDescent="0.3">
      <c r="A28" s="19">
        <v>8</v>
      </c>
      <c r="B28" s="20" t="s">
        <v>28</v>
      </c>
      <c r="C28" s="21">
        <v>95</v>
      </c>
      <c r="D28" s="22">
        <v>40</v>
      </c>
      <c r="E28" s="22">
        <v>0</v>
      </c>
      <c r="F28" s="62">
        <f t="shared" si="0"/>
        <v>0</v>
      </c>
      <c r="G28" s="23">
        <f t="shared" ca="1" si="1"/>
        <v>28</v>
      </c>
      <c r="H28" s="47">
        <f t="shared" ca="1" si="2"/>
        <v>12880</v>
      </c>
      <c r="I28" s="45">
        <f>'Service Notes'!L20</f>
        <v>1</v>
      </c>
      <c r="J28" s="47">
        <f t="shared" si="3"/>
        <v>3860</v>
      </c>
      <c r="K28" s="48">
        <f t="shared" ca="1" si="4"/>
        <v>16740</v>
      </c>
    </row>
    <row r="29" spans="1:13" x14ac:dyDescent="0.3">
      <c r="A29" s="19">
        <v>9</v>
      </c>
      <c r="B29" s="20" t="s">
        <v>29</v>
      </c>
      <c r="C29" s="21">
        <v>95</v>
      </c>
      <c r="D29" s="22">
        <v>3</v>
      </c>
      <c r="E29" s="22">
        <v>0</v>
      </c>
      <c r="F29" s="62">
        <f t="shared" si="0"/>
        <v>0</v>
      </c>
      <c r="G29" s="23">
        <f t="shared" ca="1" si="1"/>
        <v>28</v>
      </c>
      <c r="H29" s="47">
        <f t="shared" ca="1" si="2"/>
        <v>966</v>
      </c>
      <c r="I29" s="45">
        <f>'Service Notes'!L21</f>
        <v>0</v>
      </c>
      <c r="J29" s="47">
        <f t="shared" si="3"/>
        <v>0</v>
      </c>
      <c r="K29" s="48">
        <f t="shared" ca="1" si="4"/>
        <v>966</v>
      </c>
      <c r="L29" s="6"/>
    </row>
    <row r="30" spans="1:13" x14ac:dyDescent="0.3">
      <c r="A30" s="19">
        <v>10</v>
      </c>
      <c r="B30" s="20" t="s">
        <v>30</v>
      </c>
      <c r="C30" s="21">
        <v>13</v>
      </c>
      <c r="D30" s="22">
        <v>70</v>
      </c>
      <c r="E30" s="22">
        <v>0</v>
      </c>
      <c r="F30" s="62">
        <f t="shared" si="0"/>
        <v>0</v>
      </c>
      <c r="G30" s="23">
        <f t="shared" ca="1" si="1"/>
        <v>28</v>
      </c>
      <c r="H30" s="47">
        <f t="shared" ca="1" si="2"/>
        <v>22540</v>
      </c>
      <c r="I30" s="45">
        <f>'Service Notes'!L22</f>
        <v>0</v>
      </c>
      <c r="J30" s="47">
        <f t="shared" si="3"/>
        <v>0</v>
      </c>
      <c r="K30" s="48">
        <f t="shared" ca="1" si="4"/>
        <v>22540</v>
      </c>
    </row>
    <row r="31" spans="1:13" x14ac:dyDescent="0.3">
      <c r="A31" s="19">
        <v>11</v>
      </c>
      <c r="B31" s="20" t="s">
        <v>31</v>
      </c>
      <c r="C31" s="21">
        <v>75</v>
      </c>
      <c r="D31" s="22">
        <v>80</v>
      </c>
      <c r="E31" s="22">
        <v>0</v>
      </c>
      <c r="F31" s="62">
        <f t="shared" si="0"/>
        <v>0</v>
      </c>
      <c r="G31" s="23">
        <f t="shared" ca="1" si="1"/>
        <v>28</v>
      </c>
      <c r="H31" s="47">
        <f t="shared" ca="1" si="2"/>
        <v>25760</v>
      </c>
      <c r="I31" s="45">
        <f>'Service Notes'!L23</f>
        <v>0</v>
      </c>
      <c r="J31" s="47">
        <f t="shared" si="3"/>
        <v>0</v>
      </c>
      <c r="K31" s="48">
        <f t="shared" ca="1" si="4"/>
        <v>25760</v>
      </c>
      <c r="L31" s="6"/>
    </row>
    <row r="32" spans="1:13" x14ac:dyDescent="0.3">
      <c r="A32" s="19">
        <v>12</v>
      </c>
      <c r="B32" s="20" t="s">
        <v>32</v>
      </c>
      <c r="C32" s="21">
        <v>8</v>
      </c>
      <c r="D32" s="22">
        <v>59</v>
      </c>
      <c r="E32" s="22">
        <v>0</v>
      </c>
      <c r="F32" s="62">
        <f t="shared" si="0"/>
        <v>0</v>
      </c>
      <c r="G32" s="23">
        <f t="shared" ca="1" si="1"/>
        <v>28</v>
      </c>
      <c r="H32" s="47">
        <f t="shared" ca="1" si="2"/>
        <v>18998</v>
      </c>
      <c r="I32" s="45">
        <f>'Service Notes'!L24</f>
        <v>0</v>
      </c>
      <c r="J32" s="47">
        <f t="shared" si="3"/>
        <v>0</v>
      </c>
      <c r="K32" s="48">
        <f t="shared" ca="1" si="4"/>
        <v>18998</v>
      </c>
    </row>
    <row r="33" spans="1:12" x14ac:dyDescent="0.3">
      <c r="A33" s="19">
        <v>13</v>
      </c>
      <c r="B33" s="20" t="s">
        <v>33</v>
      </c>
      <c r="C33" s="21">
        <v>49</v>
      </c>
      <c r="D33" s="22">
        <v>15</v>
      </c>
      <c r="E33" s="22">
        <v>0</v>
      </c>
      <c r="F33" s="62">
        <f t="shared" si="0"/>
        <v>0</v>
      </c>
      <c r="G33" s="23">
        <f t="shared" ca="1" si="1"/>
        <v>28</v>
      </c>
      <c r="H33" s="47">
        <f ca="1">IF(D33="","",D33*$K$12*$K$6)</f>
        <v>4830</v>
      </c>
      <c r="I33" s="45">
        <f>'Service Notes'!L25</f>
        <v>0</v>
      </c>
      <c r="J33" s="47">
        <f t="shared" si="3"/>
        <v>0</v>
      </c>
      <c r="K33" s="48">
        <f t="shared" ca="1" si="4"/>
        <v>4830</v>
      </c>
    </row>
    <row r="34" spans="1:12" x14ac:dyDescent="0.3">
      <c r="A34" s="19">
        <v>14</v>
      </c>
      <c r="B34" s="26"/>
      <c r="C34" s="27"/>
      <c r="D34" s="22"/>
      <c r="E34" s="22"/>
      <c r="F34" s="63"/>
      <c r="G34" s="23" t="str">
        <f>IF(D34="","",$K$13)</f>
        <v/>
      </c>
      <c r="H34" s="24" t="str">
        <f t="shared" ref="H34:H35" si="5">IF(D34="","",D34*$K$13*$K$14)</f>
        <v/>
      </c>
      <c r="I34" s="22"/>
      <c r="J34" s="24" t="str">
        <f t="shared" ref="J34:J35" si="6">IF(D34="","",D34*I34*$K$15)</f>
        <v/>
      </c>
      <c r="K34" s="25" t="str">
        <f t="shared" ref="K34" si="7">IF(D34="","",H34+J34)</f>
        <v/>
      </c>
    </row>
    <row r="35" spans="1:12" x14ac:dyDescent="0.3">
      <c r="A35" s="11">
        <v>15</v>
      </c>
      <c r="B35" s="12"/>
      <c r="C35" s="17"/>
      <c r="D35" s="13"/>
      <c r="E35" s="13"/>
      <c r="F35" s="64"/>
      <c r="G35" s="14" t="str">
        <f>IF(D35="","",$K$13)</f>
        <v/>
      </c>
      <c r="H35" s="15" t="str">
        <f t="shared" si="5"/>
        <v/>
      </c>
      <c r="I35" s="13"/>
      <c r="J35" s="15" t="str">
        <f t="shared" si="6"/>
        <v/>
      </c>
      <c r="K35" s="16"/>
    </row>
    <row r="36" spans="1:12" x14ac:dyDescent="0.3">
      <c r="A36" s="1"/>
      <c r="B36" s="9"/>
      <c r="C36" s="9"/>
      <c r="D36" s="9"/>
      <c r="E36" s="9"/>
      <c r="F36" s="9"/>
      <c r="G36" s="9"/>
      <c r="H36" s="3"/>
      <c r="I36" s="3"/>
      <c r="J36" s="4"/>
    </row>
    <row r="37" spans="1:12" x14ac:dyDescent="0.3">
      <c r="A37" s="50"/>
      <c r="B37" s="51" t="s">
        <v>51</v>
      </c>
      <c r="C37" s="51"/>
      <c r="D37" s="52">
        <f>SUM(D21:D35)</f>
        <v>596</v>
      </c>
      <c r="E37" s="52">
        <f>SUM(E21:E35)</f>
        <v>0</v>
      </c>
      <c r="F37" s="54">
        <f>SUM(F21:F35)</f>
        <v>0</v>
      </c>
      <c r="G37" s="53"/>
      <c r="H37" s="54">
        <f ca="1">SUM(H21:H35)</f>
        <v>191912</v>
      </c>
      <c r="I37" s="53"/>
      <c r="J37" s="54">
        <f>SUM(J21:J35)</f>
        <v>16598</v>
      </c>
      <c r="K37" s="55">
        <f ca="1">SUM(F37,H37,J37)</f>
        <v>208510</v>
      </c>
      <c r="L37" s="66">
        <f ca="1">SUM(K21:K33)</f>
        <v>208510</v>
      </c>
    </row>
    <row r="38" spans="1:12" x14ac:dyDescent="0.3">
      <c r="A38" s="1"/>
      <c r="B38" s="9"/>
      <c r="C38" s="9"/>
      <c r="D38" s="9"/>
      <c r="E38" s="9"/>
      <c r="F38" s="9"/>
      <c r="G38" s="9"/>
      <c r="J38" s="3" t="s">
        <v>36</v>
      </c>
      <c r="K38" s="29">
        <f ca="1">K37*15%</f>
        <v>31276.5</v>
      </c>
    </row>
    <row r="39" spans="1:12" ht="15.6" x14ac:dyDescent="0.3">
      <c r="A39" s="109" t="s">
        <v>34</v>
      </c>
      <c r="B39" s="109"/>
      <c r="C39" s="109"/>
      <c r="D39" s="109"/>
      <c r="E39" s="59"/>
      <c r="F39" s="59"/>
      <c r="G39" s="33"/>
      <c r="H39" s="110" t="s">
        <v>52</v>
      </c>
      <c r="I39" s="110"/>
      <c r="J39" s="110"/>
      <c r="K39" s="56">
        <f ca="1">K37+K38</f>
        <v>239786.5</v>
      </c>
    </row>
    <row r="40" spans="1:12" x14ac:dyDescent="0.3">
      <c r="A40" s="39" t="s">
        <v>40</v>
      </c>
      <c r="B40" s="40"/>
      <c r="C40" s="40"/>
      <c r="D40" s="40"/>
      <c r="E40" s="40"/>
      <c r="F40" s="40"/>
      <c r="G40" s="5"/>
      <c r="H40" s="5"/>
      <c r="I40" s="5"/>
      <c r="J40" s="5"/>
    </row>
    <row r="41" spans="1:12" x14ac:dyDescent="0.3">
      <c r="A41" s="39" t="s">
        <v>41</v>
      </c>
      <c r="B41" s="40"/>
      <c r="C41" s="40"/>
      <c r="D41" s="40"/>
      <c r="E41" s="40"/>
      <c r="F41" s="40"/>
      <c r="G41" s="31"/>
      <c r="H41" s="31"/>
      <c r="I41" s="31"/>
      <c r="J41" s="31"/>
      <c r="K41" s="31"/>
    </row>
    <row r="42" spans="1:12" x14ac:dyDescent="0.3">
      <c r="A42" s="40" t="s">
        <v>42</v>
      </c>
      <c r="B42" s="40"/>
      <c r="C42" s="40"/>
      <c r="D42" s="40"/>
      <c r="E42" s="40"/>
      <c r="F42" s="40"/>
      <c r="H42" s="30"/>
      <c r="I42" s="30"/>
      <c r="J42" s="30"/>
      <c r="K42" s="30"/>
    </row>
    <row r="43" spans="1:12" x14ac:dyDescent="0.3">
      <c r="A43" s="40" t="s">
        <v>43</v>
      </c>
      <c r="B43" s="40"/>
      <c r="C43" s="40"/>
      <c r="D43" s="40"/>
      <c r="E43" s="40"/>
      <c r="F43" s="40"/>
      <c r="H43" s="32"/>
      <c r="I43" s="32"/>
      <c r="J43" s="32"/>
      <c r="K43" s="32"/>
    </row>
    <row r="44" spans="1:12" x14ac:dyDescent="0.3">
      <c r="A44" s="34"/>
      <c r="B44" s="34"/>
      <c r="C44" s="34"/>
      <c r="D44" s="34"/>
      <c r="E44" s="34"/>
      <c r="F44" s="34"/>
      <c r="H44" s="41" t="s">
        <v>45</v>
      </c>
      <c r="I44" s="41"/>
      <c r="J44" s="41"/>
      <c r="K44" s="41"/>
    </row>
    <row r="45" spans="1:12" x14ac:dyDescent="0.3">
      <c r="A45" s="34"/>
      <c r="B45" s="34"/>
      <c r="C45" s="34"/>
      <c r="D45" s="34"/>
      <c r="E45" s="34"/>
      <c r="F45" s="34"/>
      <c r="H45" s="30"/>
      <c r="I45" s="30"/>
      <c r="J45" s="30"/>
      <c r="K45" s="30"/>
    </row>
    <row r="46" spans="1:12" x14ac:dyDescent="0.3">
      <c r="A46" s="107"/>
      <c r="B46" s="107"/>
      <c r="C46" s="107"/>
      <c r="D46" s="107"/>
      <c r="E46" s="30"/>
      <c r="F46" s="30"/>
      <c r="H46" s="32"/>
      <c r="I46" s="32"/>
      <c r="J46" s="32"/>
      <c r="K46" s="32"/>
    </row>
    <row r="47" spans="1:12" x14ac:dyDescent="0.3">
      <c r="A47" s="41" t="s">
        <v>44</v>
      </c>
      <c r="B47" s="41"/>
      <c r="C47" s="41"/>
      <c r="D47" s="41"/>
      <c r="E47" s="41"/>
      <c r="F47" s="41"/>
      <c r="H47" s="30" t="s">
        <v>1</v>
      </c>
      <c r="I47" s="30"/>
      <c r="J47" s="30"/>
      <c r="K47" s="30"/>
    </row>
    <row r="48" spans="1:12" x14ac:dyDescent="0.3">
      <c r="A48" s="30"/>
      <c r="B48" s="30"/>
      <c r="C48" s="30"/>
      <c r="D48" s="30"/>
      <c r="E48" s="30"/>
      <c r="F48" s="30"/>
      <c r="H48" s="30"/>
      <c r="I48" s="30"/>
      <c r="J48" s="30"/>
      <c r="K48" s="30"/>
    </row>
    <row r="49" spans="1:11" x14ac:dyDescent="0.3">
      <c r="A49" s="105" t="str">
        <f ca="1">K4</f>
        <v>26 March 2026</v>
      </c>
      <c r="B49" s="106"/>
      <c r="C49" s="106"/>
      <c r="D49" s="106"/>
      <c r="E49" s="61"/>
      <c r="F49" s="61"/>
      <c r="H49" s="108"/>
      <c r="I49" s="107"/>
      <c r="J49" s="107"/>
      <c r="K49" s="107"/>
    </row>
    <row r="50" spans="1:11" ht="25.05" customHeight="1" x14ac:dyDescent="0.3">
      <c r="A50" s="41" t="s">
        <v>0</v>
      </c>
      <c r="B50" s="30"/>
      <c r="C50" s="30"/>
      <c r="D50" s="30"/>
      <c r="E50" s="30"/>
      <c r="F50" s="30"/>
      <c r="H50" s="41" t="s">
        <v>0</v>
      </c>
      <c r="I50" s="30"/>
      <c r="J50" s="30"/>
      <c r="K50" s="30"/>
    </row>
  </sheetData>
  <mergeCells count="37">
    <mergeCell ref="A49:D49"/>
    <mergeCell ref="A46:D46"/>
    <mergeCell ref="H49:K49"/>
    <mergeCell ref="A5:G5"/>
    <mergeCell ref="A6:G6"/>
    <mergeCell ref="A7:G7"/>
    <mergeCell ref="A39:D39"/>
    <mergeCell ref="H39:J39"/>
    <mergeCell ref="A8:G8"/>
    <mergeCell ref="A10:G10"/>
    <mergeCell ref="H10:J10"/>
    <mergeCell ref="A11:G11"/>
    <mergeCell ref="A12:G12"/>
    <mergeCell ref="A13:G13"/>
    <mergeCell ref="A14:G14"/>
    <mergeCell ref="D19:H19"/>
    <mergeCell ref="A19:A20"/>
    <mergeCell ref="B19:B20"/>
    <mergeCell ref="C19:C20"/>
    <mergeCell ref="H13:J13"/>
    <mergeCell ref="H14:J14"/>
    <mergeCell ref="H8:J8"/>
    <mergeCell ref="K19:K20"/>
    <mergeCell ref="J1:K1"/>
    <mergeCell ref="H9:J9"/>
    <mergeCell ref="H11:J11"/>
    <mergeCell ref="H12:J12"/>
    <mergeCell ref="A1:I1"/>
    <mergeCell ref="A3:G3"/>
    <mergeCell ref="A4:G4"/>
    <mergeCell ref="H3:J3"/>
    <mergeCell ref="H4:J4"/>
    <mergeCell ref="H5:J5"/>
    <mergeCell ref="H6:J6"/>
    <mergeCell ref="H7:J7"/>
    <mergeCell ref="H15:J15"/>
    <mergeCell ref="I19:J19"/>
  </mergeCells>
  <phoneticPr fontId="11" type="noConversion"/>
  <dataValidations count="1">
    <dataValidation type="whole" operator="greaterThanOrEqual" showErrorMessage="1" errorTitle="Invalid" error="Enter a whole number ≥ 0" sqref="D21:F35 I21:I35" xr:uid="{C6D762D9-E729-416C-B9B8-C414A1A3C1A1}">
      <formula1>0</formula1>
      <formula2>0</formula2>
    </dataValidation>
  </dataValidations>
  <pageMargins left="0.7" right="0.7" top="1.542" bottom="0.75" header="0.3" footer="0.3"/>
  <pageSetup paperSize="9" scale="66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L44"/>
  <sheetViews>
    <sheetView view="pageBreakPreview" topLeftCell="A10" zoomScaleNormal="100" zoomScaleSheetLayoutView="100" workbookViewId="0">
      <selection activeCell="G2" sqref="G2"/>
    </sheetView>
  </sheetViews>
  <sheetFormatPr defaultRowHeight="14.4" x14ac:dyDescent="0.3"/>
  <cols>
    <col min="1" max="1" width="9.6640625" customWidth="1"/>
    <col min="2" max="2" width="27.88671875" bestFit="1" customWidth="1"/>
    <col min="3" max="9" width="6.77734375" bestFit="1" customWidth="1"/>
    <col min="10" max="11" width="6.77734375" style="73" bestFit="1" customWidth="1"/>
    <col min="12" max="12" width="5.5546875" bestFit="1" customWidth="1"/>
    <col min="13" max="13" width="12.44140625" bestFit="1" customWidth="1"/>
    <col min="14" max="16" width="10.77734375" customWidth="1"/>
  </cols>
  <sheetData>
    <row r="1" spans="1:12" ht="22.8" x14ac:dyDescent="0.3">
      <c r="A1" s="97" t="s">
        <v>48</v>
      </c>
      <c r="B1" s="97"/>
      <c r="C1" s="97"/>
      <c r="D1" s="97"/>
      <c r="E1" s="97"/>
      <c r="F1" s="97"/>
      <c r="G1" s="95" t="s">
        <v>114</v>
      </c>
      <c r="H1" s="95"/>
      <c r="I1" s="95"/>
      <c r="J1" s="95"/>
      <c r="K1" s="95"/>
      <c r="L1" s="95"/>
    </row>
    <row r="2" spans="1:12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68"/>
      <c r="K2" s="68"/>
      <c r="L2" s="10"/>
    </row>
    <row r="3" spans="1:12" x14ac:dyDescent="0.3">
      <c r="A3" s="117" t="s">
        <v>2</v>
      </c>
      <c r="B3" s="117"/>
      <c r="C3" s="117"/>
      <c r="D3" s="117"/>
      <c r="E3" s="77"/>
      <c r="F3" s="77"/>
      <c r="G3" s="77"/>
      <c r="H3" s="57" t="s">
        <v>6</v>
      </c>
      <c r="I3" s="114" t="str">
        <f>'Invoice — Region 2'!K3</f>
        <v>STP/INV/26/0388</v>
      </c>
      <c r="J3" s="114"/>
      <c r="K3" s="114"/>
      <c r="L3" s="114"/>
    </row>
    <row r="4" spans="1:12" x14ac:dyDescent="0.3">
      <c r="A4" s="117" t="s">
        <v>55</v>
      </c>
      <c r="B4" s="117"/>
      <c r="C4" s="117"/>
      <c r="D4" s="117"/>
      <c r="E4" s="77"/>
      <c r="F4" s="77"/>
      <c r="G4" s="77"/>
      <c r="H4" s="57" t="s">
        <v>3</v>
      </c>
      <c r="I4" s="115" t="str">
        <f ca="1">'Invoice — Region 2'!K4</f>
        <v>26 March 2026</v>
      </c>
      <c r="J4" s="115"/>
      <c r="K4" s="115"/>
      <c r="L4" s="115"/>
    </row>
    <row r="5" spans="1:12" x14ac:dyDescent="0.3">
      <c r="A5" s="117" t="s">
        <v>56</v>
      </c>
      <c r="B5" s="117"/>
      <c r="C5" s="117"/>
      <c r="D5" s="117"/>
      <c r="E5" s="77"/>
      <c r="F5" s="77"/>
      <c r="G5" s="77"/>
      <c r="H5" s="57" t="s">
        <v>4</v>
      </c>
      <c r="I5" s="114" t="str">
        <f ca="1">'Invoice — Region 2'!K5</f>
        <v>March 26 (26 Feb - 25 Mar)</v>
      </c>
      <c r="J5" s="114"/>
      <c r="K5" s="114"/>
      <c r="L5" s="114"/>
    </row>
    <row r="6" spans="1:12" x14ac:dyDescent="0.3">
      <c r="A6" s="117" t="s">
        <v>47</v>
      </c>
      <c r="B6" s="117"/>
      <c r="C6" s="117"/>
      <c r="D6" s="117"/>
      <c r="E6" s="77"/>
      <c r="F6" s="77"/>
      <c r="G6" s="77"/>
      <c r="H6" s="57" t="s">
        <v>11</v>
      </c>
      <c r="I6" s="114">
        <f ca="1">IF(I4="","",I4-DATE(YEAR(I4),MONTH(I4)-1,26))</f>
        <v>28</v>
      </c>
      <c r="J6" s="114"/>
      <c r="K6" s="114"/>
      <c r="L6" s="114"/>
    </row>
    <row r="7" spans="1:12" x14ac:dyDescent="0.3">
      <c r="A7" s="117" t="s">
        <v>57</v>
      </c>
      <c r="B7" s="117"/>
      <c r="C7" s="117"/>
      <c r="D7" s="117"/>
      <c r="E7" s="77"/>
      <c r="F7" s="77"/>
      <c r="G7" s="77"/>
      <c r="H7" s="57" t="s">
        <v>5</v>
      </c>
      <c r="I7" s="116" t="str">
        <f>IF('Invoice — Region 2'!K7="","NO Po NUMBER",'Invoice — Region 2'!K7)</f>
        <v>NO Po NUMBER</v>
      </c>
      <c r="J7" s="116"/>
      <c r="K7" s="116"/>
      <c r="L7" s="116"/>
    </row>
    <row r="8" spans="1:12" x14ac:dyDescent="0.3">
      <c r="A8" s="118" t="s">
        <v>65</v>
      </c>
      <c r="B8" s="118"/>
      <c r="C8" s="118"/>
      <c r="D8" s="118"/>
      <c r="E8" s="77"/>
      <c r="F8" s="77"/>
      <c r="G8" s="77"/>
      <c r="H8" s="57" t="s">
        <v>9</v>
      </c>
      <c r="I8" s="114" t="s">
        <v>10</v>
      </c>
      <c r="J8" s="114"/>
      <c r="K8" s="114"/>
      <c r="L8" s="114"/>
    </row>
    <row r="9" spans="1:12" x14ac:dyDescent="0.3">
      <c r="A9" s="76"/>
      <c r="B9" s="76"/>
      <c r="C9" s="76"/>
      <c r="D9" s="76"/>
      <c r="E9" s="77"/>
      <c r="F9" s="77"/>
      <c r="G9" s="77"/>
      <c r="H9" s="57"/>
      <c r="I9" s="35"/>
      <c r="J9" s="35"/>
      <c r="K9" s="35"/>
      <c r="L9" s="35"/>
    </row>
    <row r="10" spans="1:12" x14ac:dyDescent="0.3">
      <c r="H10" s="2"/>
      <c r="I10" s="2"/>
      <c r="J10" s="67"/>
      <c r="K10" s="67"/>
      <c r="L10" s="28"/>
    </row>
    <row r="11" spans="1:12" x14ac:dyDescent="0.3">
      <c r="A11" s="113" t="s">
        <v>63</v>
      </c>
      <c r="B11" s="113"/>
      <c r="C11" s="80">
        <v>1</v>
      </c>
      <c r="D11" s="80">
        <v>2</v>
      </c>
      <c r="E11" s="80">
        <v>3</v>
      </c>
      <c r="F11" s="80">
        <v>4</v>
      </c>
      <c r="G11" s="80">
        <v>5</v>
      </c>
      <c r="H11" s="81">
        <v>6</v>
      </c>
      <c r="I11" s="81">
        <v>7</v>
      </c>
      <c r="J11" s="78">
        <v>8</v>
      </c>
      <c r="K11" s="78">
        <v>9</v>
      </c>
      <c r="L11" s="78" t="s">
        <v>64</v>
      </c>
    </row>
    <row r="12" spans="1:12" x14ac:dyDescent="0.3">
      <c r="A12" s="113" t="s">
        <v>39</v>
      </c>
      <c r="B12" s="113"/>
      <c r="C12" s="82">
        <v>46103</v>
      </c>
      <c r="D12" s="82">
        <v>46104</v>
      </c>
      <c r="E12" s="82">
        <v>46105</v>
      </c>
      <c r="F12" s="82">
        <v>46106</v>
      </c>
      <c r="G12" s="82">
        <v>46107</v>
      </c>
      <c r="H12" s="82">
        <v>46108</v>
      </c>
      <c r="I12" s="82">
        <v>46109</v>
      </c>
      <c r="J12" s="82">
        <v>46110</v>
      </c>
      <c r="K12" s="82">
        <v>46111</v>
      </c>
      <c r="L12" s="79"/>
    </row>
    <row r="13" spans="1:12" x14ac:dyDescent="0.3">
      <c r="A13" s="113" t="str">
        <f>'Invoice — Region 2'!B21</f>
        <v>Themba View</v>
      </c>
      <c r="B13" s="113"/>
      <c r="C13" s="83" t="b">
        <v>1</v>
      </c>
      <c r="D13" s="83" t="b">
        <v>1</v>
      </c>
      <c r="E13" s="83" t="b">
        <v>1</v>
      </c>
      <c r="F13" s="83" t="b">
        <v>1</v>
      </c>
      <c r="G13" s="83" t="b">
        <v>1</v>
      </c>
      <c r="H13" s="83" t="b">
        <v>1</v>
      </c>
      <c r="I13" s="83" t="b">
        <v>1</v>
      </c>
      <c r="J13" s="83" t="b">
        <v>1</v>
      </c>
      <c r="K13" s="83" t="b">
        <v>1</v>
      </c>
      <c r="L13" s="75">
        <f>COUNTIF(C13:K13,TRUE)</f>
        <v>9</v>
      </c>
    </row>
    <row r="14" spans="1:12" x14ac:dyDescent="0.3">
      <c r="A14" s="113" t="str">
        <f>'Invoice — Region 2'!B22</f>
        <v>Marokolong</v>
      </c>
      <c r="B14" s="113"/>
      <c r="C14" s="83" t="b">
        <v>0</v>
      </c>
      <c r="D14" s="83" t="b">
        <v>0</v>
      </c>
      <c r="E14" s="83" t="b">
        <v>0</v>
      </c>
      <c r="F14" s="83" t="b">
        <v>0</v>
      </c>
      <c r="G14" s="83" t="b">
        <v>0</v>
      </c>
      <c r="H14" s="83" t="b">
        <v>0</v>
      </c>
      <c r="I14" s="83" t="b">
        <v>0</v>
      </c>
      <c r="J14" s="83" t="b">
        <v>0</v>
      </c>
      <c r="K14" s="83" t="b">
        <v>0</v>
      </c>
      <c r="L14" s="75">
        <f t="shared" ref="L14:L25" si="0">COUNTIF(C14:K14,TRUE)</f>
        <v>0</v>
      </c>
    </row>
    <row r="15" spans="1:12" x14ac:dyDescent="0.3">
      <c r="A15" s="113" t="str">
        <f>'Invoice — Region 2'!B23</f>
        <v>Hammanskraal Ext 4</v>
      </c>
      <c r="B15" s="113"/>
      <c r="C15" s="83" t="b">
        <v>0</v>
      </c>
      <c r="D15" s="83" t="b">
        <v>0</v>
      </c>
      <c r="E15" s="83" t="b">
        <v>0</v>
      </c>
      <c r="F15" s="83" t="b">
        <v>0</v>
      </c>
      <c r="G15" s="83" t="b">
        <v>0</v>
      </c>
      <c r="H15" s="83" t="b">
        <v>0</v>
      </c>
      <c r="I15" s="83" t="b">
        <v>0</v>
      </c>
      <c r="J15" s="83" t="b">
        <v>0</v>
      </c>
      <c r="K15" s="83" t="b">
        <v>0</v>
      </c>
      <c r="L15" s="75">
        <f t="shared" si="0"/>
        <v>0</v>
      </c>
    </row>
    <row r="16" spans="1:12" x14ac:dyDescent="0.3">
      <c r="A16" s="113" t="str">
        <f>'Invoice — Region 2'!B24</f>
        <v>Hammanskraal portion 9 &amp; 10</v>
      </c>
      <c r="B16" s="113"/>
      <c r="C16" s="83" t="b">
        <v>0</v>
      </c>
      <c r="D16" s="83" t="b">
        <v>0</v>
      </c>
      <c r="E16" s="83" t="b">
        <v>0</v>
      </c>
      <c r="F16" s="83" t="b">
        <v>0</v>
      </c>
      <c r="G16" s="83" t="b">
        <v>0</v>
      </c>
      <c r="H16" s="83" t="b">
        <v>0</v>
      </c>
      <c r="I16" s="83" t="b">
        <v>0</v>
      </c>
      <c r="J16" s="83" t="b">
        <v>0</v>
      </c>
      <c r="K16" s="83" t="b">
        <v>0</v>
      </c>
      <c r="L16" s="75">
        <f t="shared" si="0"/>
        <v>0</v>
      </c>
    </row>
    <row r="17" spans="1:12" x14ac:dyDescent="0.3">
      <c r="A17" s="113" t="str">
        <f>'Invoice — Region 2'!B25</f>
        <v>Soshanguve X Buffer C</v>
      </c>
      <c r="B17" s="113"/>
      <c r="C17" s="83" t="b">
        <v>0</v>
      </c>
      <c r="D17" s="83" t="b">
        <v>0</v>
      </c>
      <c r="E17" s="83" t="b">
        <v>0</v>
      </c>
      <c r="F17" s="83" t="b">
        <v>0</v>
      </c>
      <c r="G17" s="83" t="b">
        <v>0</v>
      </c>
      <c r="H17" s="83" t="b">
        <v>0</v>
      </c>
      <c r="I17" s="83" t="b">
        <v>0</v>
      </c>
      <c r="J17" s="83" t="b">
        <v>0</v>
      </c>
      <c r="K17" s="83" t="b">
        <v>0</v>
      </c>
      <c r="L17" s="75">
        <f t="shared" si="0"/>
        <v>0</v>
      </c>
    </row>
    <row r="18" spans="1:12" x14ac:dyDescent="0.3">
      <c r="A18" s="113" t="str">
        <f>'Invoice — Region 2'!B26</f>
        <v>Soshanguve X Buffer D</v>
      </c>
      <c r="B18" s="113"/>
      <c r="C18" s="83" t="b">
        <v>1</v>
      </c>
      <c r="D18" s="83" t="b">
        <v>0</v>
      </c>
      <c r="E18" s="83" t="b">
        <v>0</v>
      </c>
      <c r="F18" s="83" t="b">
        <v>0</v>
      </c>
      <c r="G18" s="83" t="b">
        <v>0</v>
      </c>
      <c r="H18" s="83" t="b">
        <v>0</v>
      </c>
      <c r="I18" s="83" t="b">
        <v>0</v>
      </c>
      <c r="J18" s="83" t="b">
        <v>0</v>
      </c>
      <c r="K18" s="83" t="b">
        <v>0</v>
      </c>
      <c r="L18" s="75">
        <f t="shared" si="0"/>
        <v>1</v>
      </c>
    </row>
    <row r="19" spans="1:12" x14ac:dyDescent="0.3">
      <c r="A19" s="113" t="str">
        <f>'Invoice — Region 2'!B27</f>
        <v>Soshanguve X Buffer Civcon</v>
      </c>
      <c r="B19" s="113"/>
      <c r="C19" s="83" t="b">
        <v>0</v>
      </c>
      <c r="D19" s="83" t="b">
        <v>0</v>
      </c>
      <c r="E19" s="83" t="b">
        <v>0</v>
      </c>
      <c r="F19" s="83" t="b">
        <v>0</v>
      </c>
      <c r="G19" s="83" t="b">
        <v>0</v>
      </c>
      <c r="H19" s="83" t="b">
        <v>0</v>
      </c>
      <c r="I19" s="83" t="b">
        <v>0</v>
      </c>
      <c r="J19" s="83" t="b">
        <v>0</v>
      </c>
      <c r="K19" s="83" t="b">
        <v>0</v>
      </c>
      <c r="L19" s="75">
        <f t="shared" si="0"/>
        <v>0</v>
      </c>
    </row>
    <row r="20" spans="1:12" x14ac:dyDescent="0.3">
      <c r="A20" s="113" t="str">
        <f>'Invoice — Region 2'!B28</f>
        <v>Dali Mpofu</v>
      </c>
      <c r="B20" s="113"/>
      <c r="C20" s="83" t="b">
        <v>0</v>
      </c>
      <c r="D20" s="83" t="b">
        <v>0</v>
      </c>
      <c r="E20" s="83" t="b">
        <v>1</v>
      </c>
      <c r="F20" s="83" t="b">
        <v>0</v>
      </c>
      <c r="G20" s="83" t="b">
        <v>0</v>
      </c>
      <c r="H20" s="83" t="b">
        <v>0</v>
      </c>
      <c r="I20" s="83" t="b">
        <v>0</v>
      </c>
      <c r="J20" s="83" t="b">
        <v>0</v>
      </c>
      <c r="K20" s="83" t="b">
        <v>0</v>
      </c>
      <c r="L20" s="75">
        <f t="shared" si="0"/>
        <v>1</v>
      </c>
    </row>
    <row r="21" spans="1:12" x14ac:dyDescent="0.3">
      <c r="A21" s="113" t="str">
        <f>'Invoice — Region 2'!B29</f>
        <v>Stinkwater</v>
      </c>
      <c r="B21" s="113"/>
      <c r="C21" s="83" t="b">
        <v>0</v>
      </c>
      <c r="D21" s="83" t="b">
        <v>0</v>
      </c>
      <c r="E21" s="83" t="b">
        <v>0</v>
      </c>
      <c r="F21" s="83" t="b">
        <v>0</v>
      </c>
      <c r="G21" s="83" t="b">
        <v>0</v>
      </c>
      <c r="H21" s="83" t="b">
        <v>0</v>
      </c>
      <c r="I21" s="83" t="b">
        <v>0</v>
      </c>
      <c r="J21" s="83" t="b">
        <v>0</v>
      </c>
      <c r="K21" s="83" t="b">
        <v>0</v>
      </c>
      <c r="L21" s="75">
        <f t="shared" si="0"/>
        <v>0</v>
      </c>
    </row>
    <row r="22" spans="1:12" x14ac:dyDescent="0.3">
      <c r="A22" s="113" t="str">
        <f>'Invoice — Region 2'!B30</f>
        <v>Stinkwater Ext 10</v>
      </c>
      <c r="B22" s="113"/>
      <c r="C22" s="83" t="b">
        <v>0</v>
      </c>
      <c r="D22" s="83" t="b">
        <v>0</v>
      </c>
      <c r="E22" s="83" t="b">
        <v>0</v>
      </c>
      <c r="F22" s="83" t="b">
        <v>0</v>
      </c>
      <c r="G22" s="83" t="b">
        <v>0</v>
      </c>
      <c r="H22" s="83" t="b">
        <v>0</v>
      </c>
      <c r="I22" s="83" t="b">
        <v>0</v>
      </c>
      <c r="J22" s="83" t="b">
        <v>0</v>
      </c>
      <c r="K22" s="83" t="b">
        <v>0</v>
      </c>
      <c r="L22" s="75">
        <f t="shared" si="0"/>
        <v>0</v>
      </c>
    </row>
    <row r="23" spans="1:12" x14ac:dyDescent="0.3">
      <c r="A23" s="113" t="str">
        <f>'Invoice — Region 2'!B31</f>
        <v>Chris Hani</v>
      </c>
      <c r="B23" s="113"/>
      <c r="C23" s="83" t="b">
        <v>0</v>
      </c>
      <c r="D23" s="83" t="b">
        <v>0</v>
      </c>
      <c r="E23" s="83" t="b">
        <v>0</v>
      </c>
      <c r="F23" s="83" t="b">
        <v>0</v>
      </c>
      <c r="G23" s="83" t="b">
        <v>0</v>
      </c>
      <c r="H23" s="83" t="b">
        <v>0</v>
      </c>
      <c r="I23" s="83" t="b">
        <v>0</v>
      </c>
      <c r="J23" s="83" t="b">
        <v>0</v>
      </c>
      <c r="K23" s="83" t="b">
        <v>0</v>
      </c>
      <c r="L23" s="75">
        <f t="shared" si="0"/>
        <v>0</v>
      </c>
    </row>
    <row r="24" spans="1:12" x14ac:dyDescent="0.3">
      <c r="A24" s="113" t="str">
        <f>'Invoice — Region 2'!B32</f>
        <v>Phomolong Phase 1</v>
      </c>
      <c r="B24" s="113"/>
      <c r="C24" s="83" t="b">
        <v>0</v>
      </c>
      <c r="D24" s="83" t="b">
        <v>0</v>
      </c>
      <c r="E24" s="83" t="b">
        <v>0</v>
      </c>
      <c r="F24" s="83" t="b">
        <v>0</v>
      </c>
      <c r="G24" s="83" t="b">
        <v>0</v>
      </c>
      <c r="H24" s="83" t="b">
        <v>0</v>
      </c>
      <c r="I24" s="83" t="b">
        <v>0</v>
      </c>
      <c r="J24" s="83" t="b">
        <v>0</v>
      </c>
      <c r="K24" s="83" t="b">
        <v>0</v>
      </c>
      <c r="L24" s="75">
        <f t="shared" si="0"/>
        <v>0</v>
      </c>
    </row>
    <row r="25" spans="1:12" x14ac:dyDescent="0.3">
      <c r="A25" s="113" t="str">
        <f>'Invoice — Region 2'!B33</f>
        <v>Greenfield Ext 14 (Lefika)</v>
      </c>
      <c r="B25" s="113"/>
      <c r="C25" s="83" t="b">
        <v>0</v>
      </c>
      <c r="D25" s="83" t="b">
        <v>0</v>
      </c>
      <c r="E25" s="83" t="b">
        <v>0</v>
      </c>
      <c r="F25" s="83" t="b">
        <v>0</v>
      </c>
      <c r="G25" s="83" t="b">
        <v>0</v>
      </c>
      <c r="H25" s="83" t="b">
        <v>0</v>
      </c>
      <c r="I25" s="83" t="b">
        <v>0</v>
      </c>
      <c r="J25" s="83" t="b">
        <v>0</v>
      </c>
      <c r="K25" s="83" t="b">
        <v>0</v>
      </c>
      <c r="L25" s="75">
        <f t="shared" si="0"/>
        <v>0</v>
      </c>
    </row>
    <row r="26" spans="1:12" x14ac:dyDescent="0.3">
      <c r="H26" s="2"/>
      <c r="I26" s="2"/>
      <c r="J26" s="67"/>
      <c r="K26" s="67"/>
      <c r="L26" s="74"/>
    </row>
    <row r="27" spans="1:12" x14ac:dyDescent="0.3">
      <c r="H27" s="2"/>
      <c r="I27" s="2"/>
      <c r="J27" s="67"/>
      <c r="K27" s="67"/>
      <c r="L27" s="74"/>
    </row>
    <row r="28" spans="1:12" x14ac:dyDescent="0.3">
      <c r="H28" s="2"/>
      <c r="I28" s="2"/>
      <c r="J28" s="67"/>
      <c r="K28" s="67"/>
      <c r="L28" s="74"/>
    </row>
    <row r="29" spans="1:12" x14ac:dyDescent="0.3">
      <c r="H29" s="2"/>
      <c r="I29" s="2"/>
      <c r="J29" s="67"/>
      <c r="K29" s="67"/>
      <c r="L29" s="74"/>
    </row>
    <row r="30" spans="1:12" x14ac:dyDescent="0.3">
      <c r="H30" s="2"/>
      <c r="I30" s="2"/>
      <c r="J30" s="67"/>
      <c r="K30" s="67"/>
      <c r="L30" s="74"/>
    </row>
    <row r="31" spans="1:12" x14ac:dyDescent="0.3">
      <c r="H31" s="2"/>
      <c r="I31" s="2"/>
      <c r="J31" s="67"/>
      <c r="K31" s="67"/>
      <c r="L31" s="74"/>
    </row>
    <row r="32" spans="1:12" x14ac:dyDescent="0.3">
      <c r="H32" s="2"/>
      <c r="I32" s="2"/>
      <c r="J32" s="67"/>
      <c r="K32" s="67"/>
      <c r="L32" s="74"/>
    </row>
    <row r="33" spans="1:12" x14ac:dyDescent="0.3">
      <c r="H33" s="2"/>
      <c r="I33" s="2"/>
      <c r="J33" s="67"/>
      <c r="K33" s="67"/>
      <c r="L33" s="74"/>
    </row>
    <row r="34" spans="1:12" x14ac:dyDescent="0.3">
      <c r="A34" s="39"/>
      <c r="B34" s="40"/>
      <c r="C34" s="40"/>
      <c r="D34" s="40"/>
      <c r="E34" s="40"/>
      <c r="F34" s="40"/>
      <c r="G34" s="5"/>
      <c r="H34" s="5"/>
      <c r="I34" s="5"/>
      <c r="J34" s="69"/>
      <c r="K34" s="69"/>
      <c r="L34" s="73"/>
    </row>
    <row r="35" spans="1:12" x14ac:dyDescent="0.3">
      <c r="A35" s="39"/>
      <c r="B35" s="40"/>
      <c r="C35" s="40"/>
      <c r="D35" s="40"/>
      <c r="E35" s="40"/>
      <c r="F35" s="40"/>
      <c r="G35" s="31"/>
      <c r="H35" s="31"/>
      <c r="I35" s="31"/>
      <c r="J35" s="70"/>
      <c r="K35" s="70"/>
      <c r="L35" s="70"/>
    </row>
    <row r="36" spans="1:12" x14ac:dyDescent="0.3">
      <c r="A36" s="40"/>
      <c r="B36" s="40"/>
      <c r="C36" s="40"/>
      <c r="D36" s="40"/>
      <c r="E36" s="40"/>
      <c r="F36" s="40"/>
      <c r="H36" s="30"/>
      <c r="I36" s="30"/>
      <c r="J36" s="71"/>
      <c r="K36" s="71"/>
      <c r="L36" s="71"/>
    </row>
    <row r="37" spans="1:12" x14ac:dyDescent="0.3">
      <c r="A37" s="40"/>
      <c r="B37" s="40"/>
      <c r="C37" s="40"/>
      <c r="D37" s="40"/>
      <c r="E37" s="40"/>
      <c r="F37" s="40"/>
      <c r="H37" s="32"/>
      <c r="I37" s="32"/>
      <c r="J37" s="72"/>
      <c r="K37" s="72"/>
      <c r="L37" s="32"/>
    </row>
    <row r="38" spans="1:12" x14ac:dyDescent="0.3">
      <c r="A38" s="121" t="s">
        <v>62</v>
      </c>
      <c r="B38" s="121"/>
      <c r="C38" s="121"/>
      <c r="D38" s="121"/>
      <c r="E38" s="34"/>
      <c r="F38" s="34"/>
      <c r="H38" s="120" t="s">
        <v>45</v>
      </c>
      <c r="I38" s="120"/>
      <c r="J38" s="120"/>
      <c r="K38" s="120"/>
      <c r="L38" s="120"/>
    </row>
    <row r="39" spans="1:12" x14ac:dyDescent="0.3">
      <c r="A39" s="119"/>
      <c r="B39" s="119"/>
      <c r="C39" s="119"/>
      <c r="D39" s="119"/>
      <c r="E39" s="34"/>
      <c r="F39" s="34"/>
      <c r="H39" s="119"/>
      <c r="I39" s="119"/>
      <c r="J39" s="119"/>
      <c r="K39" s="119"/>
      <c r="L39" s="119"/>
    </row>
    <row r="40" spans="1:12" x14ac:dyDescent="0.3">
      <c r="A40" s="107"/>
      <c r="B40" s="107"/>
      <c r="C40" s="107"/>
      <c r="D40" s="107"/>
      <c r="E40" s="30"/>
      <c r="F40" s="30"/>
      <c r="H40" s="107"/>
      <c r="I40" s="107"/>
      <c r="J40" s="107"/>
      <c r="K40" s="107"/>
      <c r="L40" s="107"/>
    </row>
    <row r="41" spans="1:12" x14ac:dyDescent="0.3">
      <c r="A41" s="120" t="s">
        <v>44</v>
      </c>
      <c r="B41" s="120"/>
      <c r="C41" s="120"/>
      <c r="D41" s="120"/>
      <c r="E41" s="41"/>
      <c r="F41" s="41"/>
      <c r="H41" s="122" t="s">
        <v>1</v>
      </c>
      <c r="I41" s="122"/>
      <c r="J41" s="122"/>
      <c r="K41" s="122"/>
      <c r="L41" s="122"/>
    </row>
    <row r="42" spans="1:12" x14ac:dyDescent="0.3">
      <c r="A42" s="119"/>
      <c r="B42" s="119"/>
      <c r="C42" s="119"/>
      <c r="D42" s="119"/>
      <c r="E42" s="30"/>
      <c r="F42" s="30"/>
      <c r="H42" s="119"/>
      <c r="I42" s="119"/>
      <c r="J42" s="119"/>
      <c r="K42" s="119"/>
      <c r="L42" s="119"/>
    </row>
    <row r="43" spans="1:12" x14ac:dyDescent="0.3">
      <c r="A43" s="105" t="str">
        <f ca="1">I4</f>
        <v>26 March 2026</v>
      </c>
      <c r="B43" s="105"/>
      <c r="C43" s="105"/>
      <c r="D43" s="105"/>
      <c r="E43" s="61"/>
      <c r="F43" s="61"/>
      <c r="H43" s="108"/>
      <c r="I43" s="108"/>
      <c r="J43" s="108"/>
      <c r="K43" s="108"/>
      <c r="L43" s="108"/>
    </row>
    <row r="44" spans="1:12" ht="25.05" customHeight="1" x14ac:dyDescent="0.3">
      <c r="A44" s="120" t="s">
        <v>0</v>
      </c>
      <c r="B44" s="120"/>
      <c r="C44" s="120"/>
      <c r="D44" s="120"/>
      <c r="E44" s="30"/>
      <c r="F44" s="30"/>
      <c r="H44" s="120" t="s">
        <v>0</v>
      </c>
      <c r="I44" s="120"/>
      <c r="J44" s="120"/>
      <c r="K44" s="120"/>
      <c r="L44" s="120"/>
    </row>
  </sheetData>
  <mergeCells count="43">
    <mergeCell ref="A1:F1"/>
    <mergeCell ref="G1:L1"/>
    <mergeCell ref="H42:L42"/>
    <mergeCell ref="H44:L44"/>
    <mergeCell ref="A38:D38"/>
    <mergeCell ref="A39:D39"/>
    <mergeCell ref="A41:D41"/>
    <mergeCell ref="A42:D42"/>
    <mergeCell ref="A44:D44"/>
    <mergeCell ref="A40:D40"/>
    <mergeCell ref="A43:D43"/>
    <mergeCell ref="H43:L43"/>
    <mergeCell ref="H38:L38"/>
    <mergeCell ref="H39:L39"/>
    <mergeCell ref="H40:L40"/>
    <mergeCell ref="H41:L41"/>
    <mergeCell ref="A11:B11"/>
    <mergeCell ref="A12:B12"/>
    <mergeCell ref="A13:B13"/>
    <mergeCell ref="I3:L3"/>
    <mergeCell ref="I4:L4"/>
    <mergeCell ref="I5:L5"/>
    <mergeCell ref="I6:L6"/>
    <mergeCell ref="I7:L7"/>
    <mergeCell ref="I8:L8"/>
    <mergeCell ref="A3:D3"/>
    <mergeCell ref="A4:D4"/>
    <mergeCell ref="A5:D5"/>
    <mergeCell ref="A6:D6"/>
    <mergeCell ref="A7:D7"/>
    <mergeCell ref="A8:D8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</mergeCells>
  <phoneticPr fontId="11" type="noConversion"/>
  <pageMargins left="0.7" right="0.7" top="1.542" bottom="0.75" header="0.3" footer="0.3"/>
  <pageSetup paperSize="9" scale="83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2A30-A8B0-4D01-A196-1BCBF43D5969}">
  <sheetPr>
    <pageSetUpPr fitToPage="1"/>
  </sheetPr>
  <dimension ref="A1:L64"/>
  <sheetViews>
    <sheetView tabSelected="1" view="pageBreakPreview" topLeftCell="A37" zoomScaleNormal="100" zoomScaleSheetLayoutView="100" workbookViewId="0">
      <selection activeCell="H61" sqref="H61"/>
    </sheetView>
  </sheetViews>
  <sheetFormatPr defaultRowHeight="14.4" x14ac:dyDescent="0.3"/>
  <cols>
    <col min="1" max="1" width="25.88671875" customWidth="1"/>
    <col min="2" max="2" width="27.88671875" bestFit="1" customWidth="1"/>
    <col min="3" max="9" width="6.77734375" bestFit="1" customWidth="1"/>
    <col min="10" max="11" width="6.77734375" style="73" bestFit="1" customWidth="1"/>
    <col min="12" max="12" width="5.5546875" bestFit="1" customWidth="1"/>
    <col min="13" max="13" width="12.44140625" bestFit="1" customWidth="1"/>
    <col min="14" max="16" width="10.77734375" customWidth="1"/>
  </cols>
  <sheetData>
    <row r="1" spans="1:12" ht="22.8" x14ac:dyDescent="0.3">
      <c r="A1" s="97" t="s">
        <v>48</v>
      </c>
      <c r="B1" s="97"/>
      <c r="C1" s="97"/>
      <c r="D1" s="97"/>
      <c r="E1" s="97"/>
      <c r="F1" s="97"/>
      <c r="G1" s="95" t="s">
        <v>112</v>
      </c>
      <c r="H1" s="95"/>
      <c r="I1" s="95"/>
      <c r="J1" s="95"/>
      <c r="K1" s="95"/>
      <c r="L1" s="95"/>
    </row>
    <row r="2" spans="1:12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68"/>
      <c r="K2" s="68"/>
      <c r="L2" s="10"/>
    </row>
    <row r="3" spans="1:12" x14ac:dyDescent="0.3">
      <c r="A3" s="117" t="s">
        <v>2</v>
      </c>
      <c r="B3" s="117"/>
      <c r="C3" s="117"/>
      <c r="D3" s="117"/>
      <c r="E3" s="77"/>
      <c r="F3" s="77"/>
      <c r="G3" s="77"/>
      <c r="H3" s="57" t="s">
        <v>6</v>
      </c>
      <c r="I3" s="114" t="str">
        <f>'Invoice — Region 2'!K3</f>
        <v>STP/INV/26/0388</v>
      </c>
      <c r="J3" s="114"/>
      <c r="K3" s="114"/>
      <c r="L3" s="114"/>
    </row>
    <row r="4" spans="1:12" x14ac:dyDescent="0.3">
      <c r="A4" s="117" t="s">
        <v>55</v>
      </c>
      <c r="B4" s="117"/>
      <c r="C4" s="117"/>
      <c r="D4" s="117"/>
      <c r="E4" s="77"/>
      <c r="F4" s="77"/>
      <c r="G4" s="77"/>
      <c r="H4" s="57" t="s">
        <v>3</v>
      </c>
      <c r="I4" s="115" t="str">
        <f ca="1">'Invoice — Region 2'!K4</f>
        <v>26 March 2026</v>
      </c>
      <c r="J4" s="115"/>
      <c r="K4" s="115"/>
      <c r="L4" s="115"/>
    </row>
    <row r="5" spans="1:12" x14ac:dyDescent="0.3">
      <c r="A5" s="117" t="s">
        <v>56</v>
      </c>
      <c r="B5" s="117"/>
      <c r="C5" s="117"/>
      <c r="D5" s="117"/>
      <c r="E5" s="77"/>
      <c r="F5" s="77"/>
      <c r="G5" s="77"/>
      <c r="H5" s="57" t="s">
        <v>4</v>
      </c>
      <c r="I5" s="114" t="str">
        <f ca="1">'Invoice — Region 2'!K5</f>
        <v>March 26 (26 Feb - 25 Mar)</v>
      </c>
      <c r="J5" s="114"/>
      <c r="K5" s="114"/>
      <c r="L5" s="114"/>
    </row>
    <row r="6" spans="1:12" x14ac:dyDescent="0.3">
      <c r="A6" s="117" t="s">
        <v>47</v>
      </c>
      <c r="B6" s="117"/>
      <c r="C6" s="117"/>
      <c r="D6" s="117"/>
      <c r="E6" s="77"/>
      <c r="F6" s="77"/>
      <c r="G6" s="77"/>
      <c r="H6" s="57" t="s">
        <v>11</v>
      </c>
      <c r="I6" s="114">
        <f ca="1">IF(I4="","",I4-DATE(YEAR(I4),MONTH(I4)-1,26))</f>
        <v>28</v>
      </c>
      <c r="J6" s="114"/>
      <c r="K6" s="114"/>
      <c r="L6" s="114"/>
    </row>
    <row r="7" spans="1:12" x14ac:dyDescent="0.3">
      <c r="A7" s="117" t="s">
        <v>57</v>
      </c>
      <c r="B7" s="117"/>
      <c r="C7" s="117"/>
      <c r="D7" s="117"/>
      <c r="E7" s="77"/>
      <c r="F7" s="77"/>
      <c r="G7" s="77"/>
      <c r="H7" s="57" t="s">
        <v>5</v>
      </c>
      <c r="I7" s="116" t="str">
        <f>IF('Invoice — Region 2'!K7="","NO Po NUMBER",'Invoice — Region 2'!K7)</f>
        <v>NO Po NUMBER</v>
      </c>
      <c r="J7" s="116"/>
      <c r="K7" s="116"/>
      <c r="L7" s="116"/>
    </row>
    <row r="8" spans="1:12" x14ac:dyDescent="0.3">
      <c r="A8" s="118" t="s">
        <v>65</v>
      </c>
      <c r="B8" s="118"/>
      <c r="C8" s="118"/>
      <c r="D8" s="118"/>
      <c r="E8" s="77"/>
      <c r="F8" s="77"/>
      <c r="G8" s="77"/>
      <c r="H8" s="57" t="s">
        <v>9</v>
      </c>
      <c r="I8" s="114" t="s">
        <v>10</v>
      </c>
      <c r="J8" s="114"/>
      <c r="K8" s="114"/>
      <c r="L8" s="114"/>
    </row>
    <row r="9" spans="1:12" x14ac:dyDescent="0.3">
      <c r="A9" s="76"/>
      <c r="B9" s="76"/>
      <c r="C9" s="76"/>
      <c r="D9" s="76"/>
      <c r="E9" s="77"/>
      <c r="F9" s="77"/>
      <c r="G9" s="77"/>
      <c r="H9" s="57"/>
      <c r="I9" s="35"/>
      <c r="J9" s="35"/>
      <c r="K9" s="35"/>
      <c r="L9" s="35"/>
    </row>
    <row r="10" spans="1:12" x14ac:dyDescent="0.3">
      <c r="A10" s="123" t="str">
        <f>'EPWP Employees'!A10</f>
        <v>FULLNAME</v>
      </c>
      <c r="B10" s="123" t="str">
        <f>'EPWP Employees'!B10</f>
        <v>ID NUMBER</v>
      </c>
      <c r="C10" s="88">
        <v>1</v>
      </c>
      <c r="D10" s="88">
        <v>2</v>
      </c>
      <c r="E10" s="88">
        <v>3</v>
      </c>
      <c r="F10" s="88">
        <v>4</v>
      </c>
      <c r="G10" s="88">
        <v>5</v>
      </c>
      <c r="H10" s="89">
        <v>6</v>
      </c>
      <c r="I10" s="89">
        <v>7</v>
      </c>
      <c r="J10" s="78">
        <v>8</v>
      </c>
      <c r="K10" s="78">
        <v>9</v>
      </c>
      <c r="L10" s="78" t="s">
        <v>64</v>
      </c>
    </row>
    <row r="11" spans="1:12" x14ac:dyDescent="0.3">
      <c r="A11" s="123"/>
      <c r="B11" s="123"/>
      <c r="C11" s="90">
        <f>'Service Notes'!C12</f>
        <v>46103</v>
      </c>
      <c r="D11" s="90">
        <f>'Service Notes'!D12</f>
        <v>46104</v>
      </c>
      <c r="E11" s="90">
        <f>'Service Notes'!E12</f>
        <v>46105</v>
      </c>
      <c r="F11" s="90">
        <f>'Service Notes'!F12</f>
        <v>46106</v>
      </c>
      <c r="G11" s="90">
        <f>'Service Notes'!G12</f>
        <v>46107</v>
      </c>
      <c r="H11" s="90">
        <f>'Service Notes'!H12</f>
        <v>46108</v>
      </c>
      <c r="I11" s="90">
        <f>'Service Notes'!I12</f>
        <v>46109</v>
      </c>
      <c r="J11" s="90">
        <f>'Service Notes'!J12</f>
        <v>46110</v>
      </c>
      <c r="K11" s="90">
        <f>'Service Notes'!K12</f>
        <v>46111</v>
      </c>
      <c r="L11" s="79"/>
    </row>
    <row r="12" spans="1:12" x14ac:dyDescent="0.3">
      <c r="A12" t="str">
        <f>IF('EPWP Employees'!A11="","",'EPWP Employees'!A11)</f>
        <v>NAME 1</v>
      </c>
      <c r="B12" t="str">
        <f>IF('EPWP Employees'!B11="","",'EPWP Employees'!B11)</f>
        <v>ID NUMBER 1</v>
      </c>
      <c r="C12" s="83" t="b">
        <v>0</v>
      </c>
      <c r="D12" s="83" t="b">
        <v>0</v>
      </c>
      <c r="E12" s="83" t="b">
        <v>0</v>
      </c>
      <c r="F12" s="83" t="b">
        <v>0</v>
      </c>
      <c r="G12" s="83" t="b">
        <v>0</v>
      </c>
      <c r="H12" s="83" t="b">
        <v>0</v>
      </c>
      <c r="I12" s="83" t="b">
        <v>0</v>
      </c>
      <c r="J12" s="83" t="b">
        <v>0</v>
      </c>
      <c r="K12" s="83" t="b">
        <v>0</v>
      </c>
      <c r="L12" s="75">
        <f>COUNTIF(C12:K12,TRUE)</f>
        <v>0</v>
      </c>
    </row>
    <row r="13" spans="1:12" x14ac:dyDescent="0.3">
      <c r="A13" t="str">
        <f>IF('EPWP Employees'!A12="","",'EPWP Employees'!A12)</f>
        <v>NAME 2</v>
      </c>
      <c r="B13" t="str">
        <f>IF('EPWP Employees'!B12="","",'EPWP Employees'!B12)</f>
        <v>ID NUMBER 2</v>
      </c>
      <c r="C13" s="83" t="b">
        <v>0</v>
      </c>
      <c r="D13" s="83" t="b">
        <v>0</v>
      </c>
      <c r="E13" s="83" t="b">
        <v>0</v>
      </c>
      <c r="F13" s="83" t="b">
        <v>0</v>
      </c>
      <c r="G13" s="83" t="b">
        <v>0</v>
      </c>
      <c r="H13" s="83" t="b">
        <v>0</v>
      </c>
      <c r="I13" s="83" t="b">
        <v>0</v>
      </c>
      <c r="J13" s="83" t="b">
        <v>0</v>
      </c>
      <c r="K13" s="83" t="b">
        <v>0</v>
      </c>
      <c r="L13" s="75">
        <f t="shared" ref="L13:L41" si="0">COUNTIF(C13:K13,TRUE)</f>
        <v>0</v>
      </c>
    </row>
    <row r="14" spans="1:12" x14ac:dyDescent="0.3">
      <c r="A14" t="str">
        <f>IF('EPWP Employees'!A13="","",'EPWP Employees'!A13)</f>
        <v>NAME 3</v>
      </c>
      <c r="B14" t="str">
        <f>IF('EPWP Employees'!B13="","",'EPWP Employees'!B13)</f>
        <v>ID NUMBER 3</v>
      </c>
      <c r="C14" s="83" t="b">
        <v>0</v>
      </c>
      <c r="D14" s="83" t="b">
        <v>0</v>
      </c>
      <c r="E14" s="83" t="b">
        <v>0</v>
      </c>
      <c r="F14" s="83" t="b">
        <v>0</v>
      </c>
      <c r="G14" s="83" t="b">
        <v>0</v>
      </c>
      <c r="H14" s="83" t="b">
        <v>0</v>
      </c>
      <c r="I14" s="83" t="b">
        <v>0</v>
      </c>
      <c r="J14" s="83" t="b">
        <v>0</v>
      </c>
      <c r="K14" s="83" t="b">
        <v>0</v>
      </c>
      <c r="L14" s="75">
        <f t="shared" si="0"/>
        <v>0</v>
      </c>
    </row>
    <row r="15" spans="1:12" x14ac:dyDescent="0.3">
      <c r="A15" t="str">
        <f>IF('EPWP Employees'!A14="","",'EPWP Employees'!A14)</f>
        <v>NAME 4</v>
      </c>
      <c r="B15" t="str">
        <f>IF('EPWP Employees'!B14="","",'EPWP Employees'!B14)</f>
        <v>ID NUMBER 4</v>
      </c>
      <c r="C15" s="83" t="b">
        <v>0</v>
      </c>
      <c r="D15" s="83" t="b">
        <v>0</v>
      </c>
      <c r="E15" s="83" t="b">
        <v>0</v>
      </c>
      <c r="F15" s="83" t="b">
        <v>0</v>
      </c>
      <c r="G15" s="83" t="b">
        <v>0</v>
      </c>
      <c r="H15" s="83" t="b">
        <v>0</v>
      </c>
      <c r="I15" s="83" t="b">
        <v>0</v>
      </c>
      <c r="J15" s="83" t="b">
        <v>0</v>
      </c>
      <c r="K15" s="83" t="b">
        <v>0</v>
      </c>
      <c r="L15" s="75">
        <f t="shared" si="0"/>
        <v>0</v>
      </c>
    </row>
    <row r="16" spans="1:12" x14ac:dyDescent="0.3">
      <c r="A16" t="str">
        <f>IF('EPWP Employees'!A15="","",'EPWP Employees'!A15)</f>
        <v>NAME 5</v>
      </c>
      <c r="B16" t="str">
        <f>IF('EPWP Employees'!B15="","",'EPWP Employees'!B15)</f>
        <v>ID NUMBER 5</v>
      </c>
      <c r="C16" s="83" t="b">
        <v>0</v>
      </c>
      <c r="D16" s="83" t="b">
        <v>0</v>
      </c>
      <c r="E16" s="83" t="b">
        <v>0</v>
      </c>
      <c r="F16" s="83" t="b">
        <v>0</v>
      </c>
      <c r="G16" s="83" t="b">
        <v>0</v>
      </c>
      <c r="H16" s="83" t="b">
        <v>0</v>
      </c>
      <c r="I16" s="83" t="b">
        <v>0</v>
      </c>
      <c r="J16" s="83" t="b">
        <v>0</v>
      </c>
      <c r="K16" s="83" t="b">
        <v>0</v>
      </c>
      <c r="L16" s="75">
        <f t="shared" si="0"/>
        <v>0</v>
      </c>
    </row>
    <row r="17" spans="1:12" x14ac:dyDescent="0.3">
      <c r="A17" t="str">
        <f>IF('EPWP Employees'!A16="","",'EPWP Employees'!A16)</f>
        <v>NAME 6</v>
      </c>
      <c r="B17" t="str">
        <f>IF('EPWP Employees'!B16="","",'EPWP Employees'!B16)</f>
        <v>ID NUMBER 6</v>
      </c>
      <c r="C17" s="83" t="b">
        <v>0</v>
      </c>
      <c r="D17" s="83" t="b">
        <v>0</v>
      </c>
      <c r="E17" s="83" t="b">
        <v>0</v>
      </c>
      <c r="F17" s="83" t="b">
        <v>0</v>
      </c>
      <c r="G17" s="83" t="b">
        <v>0</v>
      </c>
      <c r="H17" s="83" t="b">
        <v>0</v>
      </c>
      <c r="I17" s="83" t="b">
        <v>0</v>
      </c>
      <c r="J17" s="83" t="b">
        <v>0</v>
      </c>
      <c r="K17" s="83" t="b">
        <v>0</v>
      </c>
      <c r="L17" s="75">
        <f t="shared" si="0"/>
        <v>0</v>
      </c>
    </row>
    <row r="18" spans="1:12" x14ac:dyDescent="0.3">
      <c r="A18" t="str">
        <f>IF('EPWP Employees'!A17="","",'EPWP Employees'!A17)</f>
        <v>NAME 7</v>
      </c>
      <c r="B18" t="str">
        <f>IF('EPWP Employees'!B17="","",'EPWP Employees'!B17)</f>
        <v>ID NUMBER 7</v>
      </c>
      <c r="C18" s="83" t="b">
        <v>0</v>
      </c>
      <c r="D18" s="83" t="b">
        <v>0</v>
      </c>
      <c r="E18" s="83" t="b">
        <v>0</v>
      </c>
      <c r="F18" s="83" t="b">
        <v>0</v>
      </c>
      <c r="G18" s="83" t="b">
        <v>0</v>
      </c>
      <c r="H18" s="83" t="b">
        <v>0</v>
      </c>
      <c r="I18" s="83" t="b">
        <v>0</v>
      </c>
      <c r="J18" s="83" t="b">
        <v>0</v>
      </c>
      <c r="K18" s="83" t="b">
        <v>0</v>
      </c>
      <c r="L18" s="75">
        <f t="shared" si="0"/>
        <v>0</v>
      </c>
    </row>
    <row r="19" spans="1:12" x14ac:dyDescent="0.3">
      <c r="A19" t="str">
        <f>IF('EPWP Employees'!A18="","",'EPWP Employees'!A18)</f>
        <v>NAME 8</v>
      </c>
      <c r="B19" t="str">
        <f>IF('EPWP Employees'!B18="","",'EPWP Employees'!B18)</f>
        <v>ID NUMBER 8</v>
      </c>
      <c r="C19" s="83" t="b">
        <v>0</v>
      </c>
      <c r="D19" s="83" t="b">
        <v>0</v>
      </c>
      <c r="E19" s="83" t="b">
        <v>0</v>
      </c>
      <c r="F19" s="83" t="b">
        <v>0</v>
      </c>
      <c r="G19" s="83" t="b">
        <v>0</v>
      </c>
      <c r="H19" s="83" t="b">
        <v>0</v>
      </c>
      <c r="I19" s="83" t="b">
        <v>0</v>
      </c>
      <c r="J19" s="83" t="b">
        <v>0</v>
      </c>
      <c r="K19" s="83" t="b">
        <v>0</v>
      </c>
      <c r="L19" s="75">
        <f t="shared" si="0"/>
        <v>0</v>
      </c>
    </row>
    <row r="20" spans="1:12" x14ac:dyDescent="0.3">
      <c r="A20" t="str">
        <f>IF('EPWP Employees'!A19="","",'EPWP Employees'!A19)</f>
        <v>NAME 9</v>
      </c>
      <c r="B20" t="str">
        <f>IF('EPWP Employees'!B19="","",'EPWP Employees'!B19)</f>
        <v>ID NUMBER 9</v>
      </c>
      <c r="C20" s="83" t="b">
        <v>0</v>
      </c>
      <c r="D20" s="83" t="b">
        <v>0</v>
      </c>
      <c r="E20" s="83" t="b">
        <v>0</v>
      </c>
      <c r="F20" s="83" t="b">
        <v>0</v>
      </c>
      <c r="G20" s="83" t="b">
        <v>0</v>
      </c>
      <c r="H20" s="83" t="b">
        <v>0</v>
      </c>
      <c r="I20" s="83" t="b">
        <v>0</v>
      </c>
      <c r="J20" s="83" t="b">
        <v>0</v>
      </c>
      <c r="K20" s="83" t="b">
        <v>0</v>
      </c>
      <c r="L20" s="75">
        <f t="shared" si="0"/>
        <v>0</v>
      </c>
    </row>
    <row r="21" spans="1:12" x14ac:dyDescent="0.3">
      <c r="A21" t="str">
        <f>IF('EPWP Employees'!A20="","",'EPWP Employees'!A20)</f>
        <v>NAME 10</v>
      </c>
      <c r="B21" t="str">
        <f>IF('EPWP Employees'!B20="","",'EPWP Employees'!B20)</f>
        <v>ID NUMBER 10</v>
      </c>
      <c r="C21" s="83" t="b">
        <v>0</v>
      </c>
      <c r="D21" s="83" t="b">
        <v>0</v>
      </c>
      <c r="E21" s="83" t="b">
        <v>0</v>
      </c>
      <c r="F21" s="83" t="b">
        <v>0</v>
      </c>
      <c r="G21" s="83" t="b">
        <v>0</v>
      </c>
      <c r="H21" s="83" t="b">
        <v>0</v>
      </c>
      <c r="I21" s="83" t="b">
        <v>0</v>
      </c>
      <c r="J21" s="83" t="b">
        <v>0</v>
      </c>
      <c r="K21" s="83" t="b">
        <v>0</v>
      </c>
      <c r="L21" s="75">
        <f t="shared" si="0"/>
        <v>0</v>
      </c>
    </row>
    <row r="22" spans="1:12" x14ac:dyDescent="0.3">
      <c r="A22" t="str">
        <f>IF('EPWP Employees'!A21="","",'EPWP Employees'!A21)</f>
        <v>NAME 11</v>
      </c>
      <c r="B22" t="str">
        <f>IF('EPWP Employees'!B21="","",'EPWP Employees'!B21)</f>
        <v>ID NUMBER 11</v>
      </c>
      <c r="C22" s="83" t="b">
        <v>0</v>
      </c>
      <c r="D22" s="83" t="b">
        <v>0</v>
      </c>
      <c r="E22" s="83" t="b">
        <v>0</v>
      </c>
      <c r="F22" s="83" t="b">
        <v>0</v>
      </c>
      <c r="G22" s="83" t="b">
        <v>0</v>
      </c>
      <c r="H22" s="83" t="b">
        <v>0</v>
      </c>
      <c r="I22" s="83" t="b">
        <v>0</v>
      </c>
      <c r="J22" s="83" t="b">
        <v>0</v>
      </c>
      <c r="K22" s="83" t="b">
        <v>0</v>
      </c>
      <c r="L22" s="75">
        <f t="shared" si="0"/>
        <v>0</v>
      </c>
    </row>
    <row r="23" spans="1:12" x14ac:dyDescent="0.3">
      <c r="A23" t="str">
        <f>IF('EPWP Employees'!A22="","",'EPWP Employees'!A22)</f>
        <v>NAME 12</v>
      </c>
      <c r="B23" t="str">
        <f>IF('EPWP Employees'!B22="","",'EPWP Employees'!B22)</f>
        <v>ID NUMBER 12</v>
      </c>
      <c r="C23" s="83" t="b">
        <v>0</v>
      </c>
      <c r="D23" s="83" t="b">
        <v>0</v>
      </c>
      <c r="E23" s="83" t="b">
        <v>0</v>
      </c>
      <c r="F23" s="83" t="b">
        <v>0</v>
      </c>
      <c r="G23" s="83" t="b">
        <v>0</v>
      </c>
      <c r="H23" s="83" t="b">
        <v>0</v>
      </c>
      <c r="I23" s="83" t="b">
        <v>0</v>
      </c>
      <c r="J23" s="83" t="b">
        <v>0</v>
      </c>
      <c r="K23" s="83" t="b">
        <v>0</v>
      </c>
      <c r="L23" s="75">
        <f t="shared" si="0"/>
        <v>0</v>
      </c>
    </row>
    <row r="24" spans="1:12" x14ac:dyDescent="0.3">
      <c r="A24" t="str">
        <f>IF('EPWP Employees'!A23="","",'EPWP Employees'!A23)</f>
        <v>NAME 13</v>
      </c>
      <c r="B24" t="str">
        <f>IF('EPWP Employees'!B23="","",'EPWP Employees'!B23)</f>
        <v>ID NUMBER 13</v>
      </c>
      <c r="C24" s="83" t="b">
        <v>0</v>
      </c>
      <c r="D24" s="83" t="b">
        <v>0</v>
      </c>
      <c r="E24" s="83" t="b">
        <v>0</v>
      </c>
      <c r="F24" s="83" t="b">
        <v>0</v>
      </c>
      <c r="G24" s="83" t="b">
        <v>0</v>
      </c>
      <c r="H24" s="83" t="b">
        <v>0</v>
      </c>
      <c r="I24" s="83" t="b">
        <v>0</v>
      </c>
      <c r="J24" s="83" t="b">
        <v>0</v>
      </c>
      <c r="K24" s="83" t="b">
        <v>0</v>
      </c>
      <c r="L24" s="75">
        <f t="shared" si="0"/>
        <v>0</v>
      </c>
    </row>
    <row r="25" spans="1:12" x14ac:dyDescent="0.3">
      <c r="A25" t="str">
        <f>IF('EPWP Employees'!A24="","",'EPWP Employees'!A24)</f>
        <v>NAME 14</v>
      </c>
      <c r="B25" t="str">
        <f>IF('EPWP Employees'!B24="","",'EPWP Employees'!B24)</f>
        <v>ID NUMBER 14</v>
      </c>
      <c r="C25" s="83" t="b">
        <v>0</v>
      </c>
      <c r="D25" s="83" t="b">
        <v>0</v>
      </c>
      <c r="E25" s="83" t="b">
        <v>0</v>
      </c>
      <c r="F25" s="83" t="b">
        <v>0</v>
      </c>
      <c r="G25" s="83" t="b">
        <v>0</v>
      </c>
      <c r="H25" s="83" t="b">
        <v>0</v>
      </c>
      <c r="I25" s="83" t="b">
        <v>0</v>
      </c>
      <c r="J25" s="83" t="b">
        <v>0</v>
      </c>
      <c r="K25" s="83" t="b">
        <v>0</v>
      </c>
      <c r="L25" s="75">
        <f t="shared" si="0"/>
        <v>0</v>
      </c>
    </row>
    <row r="26" spans="1:12" x14ac:dyDescent="0.3">
      <c r="A26" t="str">
        <f>IF('EPWP Employees'!A25="","",'EPWP Employees'!A25)</f>
        <v>NAME 15</v>
      </c>
      <c r="B26" t="str">
        <f>IF('EPWP Employees'!B25="","",'EPWP Employees'!B25)</f>
        <v>ID NUMBER 15</v>
      </c>
      <c r="C26" s="83" t="b">
        <v>0</v>
      </c>
      <c r="D26" s="83" t="b">
        <v>0</v>
      </c>
      <c r="E26" s="83" t="b">
        <v>0</v>
      </c>
      <c r="F26" s="83" t="b">
        <v>0</v>
      </c>
      <c r="G26" s="83" t="b">
        <v>0</v>
      </c>
      <c r="H26" s="83" t="b">
        <v>0</v>
      </c>
      <c r="I26" s="83" t="b">
        <v>0</v>
      </c>
      <c r="J26" s="83" t="b">
        <v>0</v>
      </c>
      <c r="K26" s="83" t="b">
        <v>0</v>
      </c>
      <c r="L26" s="75">
        <f t="shared" si="0"/>
        <v>0</v>
      </c>
    </row>
    <row r="27" spans="1:12" x14ac:dyDescent="0.3">
      <c r="A27" t="str">
        <f>IF('EPWP Employees'!A26="","",'EPWP Employees'!A26)</f>
        <v>NAME 16</v>
      </c>
      <c r="B27" t="str">
        <f>IF('EPWP Employees'!B26="","",'EPWP Employees'!B26)</f>
        <v>ID NUMBER 16</v>
      </c>
      <c r="C27" s="83" t="b">
        <v>0</v>
      </c>
      <c r="D27" s="83" t="b">
        <v>0</v>
      </c>
      <c r="E27" s="83" t="b">
        <v>0</v>
      </c>
      <c r="F27" s="83" t="b">
        <v>0</v>
      </c>
      <c r="G27" s="83" t="b">
        <v>0</v>
      </c>
      <c r="H27" s="83" t="b">
        <v>0</v>
      </c>
      <c r="I27" s="83" t="b">
        <v>0</v>
      </c>
      <c r="J27" s="83" t="b">
        <v>0</v>
      </c>
      <c r="K27" s="83" t="b">
        <v>0</v>
      </c>
      <c r="L27" s="75">
        <f t="shared" si="0"/>
        <v>0</v>
      </c>
    </row>
    <row r="28" spans="1:12" x14ac:dyDescent="0.3">
      <c r="A28" t="str">
        <f>IF('EPWP Employees'!A27="","",'EPWP Employees'!A27)</f>
        <v>NAME 17</v>
      </c>
      <c r="B28" t="str">
        <f>IF('EPWP Employees'!B27="","",'EPWP Employees'!B27)</f>
        <v>ID NUMBER 17</v>
      </c>
      <c r="C28" s="83" t="b">
        <v>0</v>
      </c>
      <c r="D28" s="83" t="b">
        <v>0</v>
      </c>
      <c r="E28" s="83" t="b">
        <v>0</v>
      </c>
      <c r="F28" s="83" t="b">
        <v>0</v>
      </c>
      <c r="G28" s="83" t="b">
        <v>0</v>
      </c>
      <c r="H28" s="83" t="b">
        <v>0</v>
      </c>
      <c r="I28" s="83" t="b">
        <v>0</v>
      </c>
      <c r="J28" s="83" t="b">
        <v>0</v>
      </c>
      <c r="K28" s="83" t="b">
        <v>0</v>
      </c>
      <c r="L28" s="75">
        <f t="shared" si="0"/>
        <v>0</v>
      </c>
    </row>
    <row r="29" spans="1:12" x14ac:dyDescent="0.3">
      <c r="A29" t="str">
        <f>IF('EPWP Employees'!A28="","",'EPWP Employees'!A28)</f>
        <v>NAME 18</v>
      </c>
      <c r="B29" t="str">
        <f>IF('EPWP Employees'!B28="","",'EPWP Employees'!B28)</f>
        <v>ID NUMBER 18</v>
      </c>
      <c r="C29" s="83" t="b">
        <v>0</v>
      </c>
      <c r="D29" s="83" t="b">
        <v>0</v>
      </c>
      <c r="E29" s="83" t="b">
        <v>0</v>
      </c>
      <c r="F29" s="83" t="b">
        <v>0</v>
      </c>
      <c r="G29" s="83" t="b">
        <v>0</v>
      </c>
      <c r="H29" s="83" t="b">
        <v>0</v>
      </c>
      <c r="I29" s="83" t="b">
        <v>0</v>
      </c>
      <c r="J29" s="83" t="b">
        <v>0</v>
      </c>
      <c r="K29" s="83" t="b">
        <v>0</v>
      </c>
      <c r="L29" s="75">
        <f t="shared" si="0"/>
        <v>0</v>
      </c>
    </row>
    <row r="30" spans="1:12" x14ac:dyDescent="0.3">
      <c r="A30" t="str">
        <f>IF('EPWP Employees'!A29="","",'EPWP Employees'!A29)</f>
        <v>NAME 19</v>
      </c>
      <c r="B30" t="str">
        <f>IF('EPWP Employees'!B29="","",'EPWP Employees'!B29)</f>
        <v>ID NUMBER 19</v>
      </c>
      <c r="C30" s="83" t="b">
        <v>0</v>
      </c>
      <c r="D30" s="83" t="b">
        <v>0</v>
      </c>
      <c r="E30" s="83" t="b">
        <v>0</v>
      </c>
      <c r="F30" s="83" t="b">
        <v>0</v>
      </c>
      <c r="G30" s="83" t="b">
        <v>0</v>
      </c>
      <c r="H30" s="83" t="b">
        <v>0</v>
      </c>
      <c r="I30" s="83" t="b">
        <v>0</v>
      </c>
      <c r="J30" s="83" t="b">
        <v>0</v>
      </c>
      <c r="K30" s="83" t="b">
        <v>0</v>
      </c>
      <c r="L30" s="75">
        <f t="shared" si="0"/>
        <v>0</v>
      </c>
    </row>
    <row r="31" spans="1:12" x14ac:dyDescent="0.3">
      <c r="A31" t="str">
        <f>IF('EPWP Employees'!A30="","",'EPWP Employees'!A30)</f>
        <v>NAME 20</v>
      </c>
      <c r="B31" t="str">
        <f>IF('EPWP Employees'!B30="","",'EPWP Employees'!B30)</f>
        <v>ID NUMBER 20</v>
      </c>
      <c r="C31" s="83" t="b">
        <v>0</v>
      </c>
      <c r="D31" s="83" t="b">
        <v>0</v>
      </c>
      <c r="E31" s="83" t="b">
        <v>0</v>
      </c>
      <c r="F31" s="83" t="b">
        <v>0</v>
      </c>
      <c r="G31" s="83" t="b">
        <v>0</v>
      </c>
      <c r="H31" s="83" t="b">
        <v>0</v>
      </c>
      <c r="I31" s="83" t="b">
        <v>0</v>
      </c>
      <c r="J31" s="83" t="b">
        <v>0</v>
      </c>
      <c r="K31" s="83" t="b">
        <v>0</v>
      </c>
      <c r="L31" s="75">
        <f t="shared" si="0"/>
        <v>0</v>
      </c>
    </row>
    <row r="32" spans="1:12" x14ac:dyDescent="0.3">
      <c r="A32" t="str">
        <f>IF('EPWP Employees'!A31="","",'EPWP Employees'!A31)</f>
        <v>NAME 21</v>
      </c>
      <c r="B32" t="str">
        <f>IF('EPWP Employees'!B31="","",'EPWP Employees'!B31)</f>
        <v>ID NUMBER 21</v>
      </c>
      <c r="C32" s="83" t="b">
        <v>0</v>
      </c>
      <c r="D32" s="83" t="b">
        <v>0</v>
      </c>
      <c r="E32" s="83" t="b">
        <v>0</v>
      </c>
      <c r="F32" s="83" t="b">
        <v>0</v>
      </c>
      <c r="G32" s="83" t="b">
        <v>0</v>
      </c>
      <c r="H32" s="83" t="b">
        <v>0</v>
      </c>
      <c r="I32" s="83" t="b">
        <v>0</v>
      </c>
      <c r="J32" s="83" t="b">
        <v>0</v>
      </c>
      <c r="K32" s="83" t="b">
        <v>0</v>
      </c>
      <c r="L32" s="75">
        <f t="shared" si="0"/>
        <v>0</v>
      </c>
    </row>
    <row r="33" spans="1:12" x14ac:dyDescent="0.3">
      <c r="A33" t="str">
        <f>IF('EPWP Employees'!A32="","",'EPWP Employees'!A32)</f>
        <v>NAME 22</v>
      </c>
      <c r="B33" t="str">
        <f>IF('EPWP Employees'!B32="","",'EPWP Employees'!B32)</f>
        <v>ID NUMBER 22</v>
      </c>
      <c r="C33" s="83" t="b">
        <v>0</v>
      </c>
      <c r="D33" s="83" t="b">
        <v>0</v>
      </c>
      <c r="E33" s="83" t="b">
        <v>0</v>
      </c>
      <c r="F33" s="83" t="b">
        <v>0</v>
      </c>
      <c r="G33" s="83" t="b">
        <v>0</v>
      </c>
      <c r="H33" s="83" t="b">
        <v>0</v>
      </c>
      <c r="I33" s="83" t="b">
        <v>0</v>
      </c>
      <c r="J33" s="83" t="b">
        <v>0</v>
      </c>
      <c r="K33" s="83" t="b">
        <v>0</v>
      </c>
      <c r="L33" s="75">
        <f t="shared" si="0"/>
        <v>0</v>
      </c>
    </row>
    <row r="34" spans="1:12" x14ac:dyDescent="0.3">
      <c r="A34" t="str">
        <f>IF('EPWP Employees'!A33="","",'EPWP Employees'!A33)</f>
        <v>NAME 23</v>
      </c>
      <c r="B34" t="str">
        <f>IF('EPWP Employees'!B33="","",'EPWP Employees'!B33)</f>
        <v>ID NUMBER 23</v>
      </c>
      <c r="C34" s="83" t="b">
        <v>0</v>
      </c>
      <c r="D34" s="83" t="b">
        <v>0</v>
      </c>
      <c r="E34" s="83" t="b">
        <v>0</v>
      </c>
      <c r="F34" s="83" t="b">
        <v>0</v>
      </c>
      <c r="G34" s="83" t="b">
        <v>0</v>
      </c>
      <c r="H34" s="83" t="b">
        <v>0</v>
      </c>
      <c r="I34" s="83" t="b">
        <v>0</v>
      </c>
      <c r="J34" s="83" t="b">
        <v>0</v>
      </c>
      <c r="K34" s="83" t="b">
        <v>0</v>
      </c>
      <c r="L34" s="75">
        <f t="shared" si="0"/>
        <v>0</v>
      </c>
    </row>
    <row r="35" spans="1:12" x14ac:dyDescent="0.3">
      <c r="A35" t="str">
        <f>IF('EPWP Employees'!A34="","",'EPWP Employees'!A34)</f>
        <v>NAME 24</v>
      </c>
      <c r="B35" t="str">
        <f>IF('EPWP Employees'!B34="","",'EPWP Employees'!B34)</f>
        <v>ID NUMBER 24</v>
      </c>
      <c r="C35" s="83" t="b">
        <v>0</v>
      </c>
      <c r="D35" s="83" t="b">
        <v>0</v>
      </c>
      <c r="E35" s="83" t="b">
        <v>0</v>
      </c>
      <c r="F35" s="83" t="b">
        <v>0</v>
      </c>
      <c r="G35" s="83" t="b">
        <v>0</v>
      </c>
      <c r="H35" s="83" t="b">
        <v>0</v>
      </c>
      <c r="I35" s="83" t="b">
        <v>0</v>
      </c>
      <c r="J35" s="83" t="b">
        <v>0</v>
      </c>
      <c r="K35" s="83" t="b">
        <v>0</v>
      </c>
      <c r="L35" s="75">
        <f t="shared" si="0"/>
        <v>0</v>
      </c>
    </row>
    <row r="36" spans="1:12" x14ac:dyDescent="0.3">
      <c r="A36" t="str">
        <f>IF('EPWP Employees'!A35="","",'EPWP Employees'!A35)</f>
        <v>NAME 25</v>
      </c>
      <c r="B36" t="str">
        <f>IF('EPWP Employees'!B35="","",'EPWP Employees'!B35)</f>
        <v>ID NUMBER 25</v>
      </c>
      <c r="C36" s="83" t="b">
        <v>0</v>
      </c>
      <c r="D36" s="83" t="b">
        <v>0</v>
      </c>
      <c r="E36" s="83" t="b">
        <v>0</v>
      </c>
      <c r="F36" s="83" t="b">
        <v>0</v>
      </c>
      <c r="G36" s="83" t="b">
        <v>0</v>
      </c>
      <c r="H36" s="83" t="b">
        <v>0</v>
      </c>
      <c r="I36" s="83" t="b">
        <v>0</v>
      </c>
      <c r="J36" s="83" t="b">
        <v>0</v>
      </c>
      <c r="K36" s="83" t="b">
        <v>0</v>
      </c>
      <c r="L36" s="75">
        <f t="shared" si="0"/>
        <v>0</v>
      </c>
    </row>
    <row r="37" spans="1:12" x14ac:dyDescent="0.3">
      <c r="A37" t="str">
        <f>IF('EPWP Employees'!A36="","",'EPWP Employees'!A36)</f>
        <v>NAME 26</v>
      </c>
      <c r="B37" t="str">
        <f>IF('EPWP Employees'!B36="","",'EPWP Employees'!B36)</f>
        <v>ID NUMBER 26</v>
      </c>
      <c r="C37" s="83" t="b">
        <v>0</v>
      </c>
      <c r="D37" s="83" t="b">
        <v>0</v>
      </c>
      <c r="E37" s="83" t="b">
        <v>0</v>
      </c>
      <c r="F37" s="83" t="b">
        <v>0</v>
      </c>
      <c r="G37" s="83" t="b">
        <v>0</v>
      </c>
      <c r="H37" s="83" t="b">
        <v>0</v>
      </c>
      <c r="I37" s="83" t="b">
        <v>0</v>
      </c>
      <c r="J37" s="83" t="b">
        <v>0</v>
      </c>
      <c r="K37" s="83" t="b">
        <v>0</v>
      </c>
      <c r="L37" s="75">
        <f t="shared" si="0"/>
        <v>0</v>
      </c>
    </row>
    <row r="38" spans="1:12" x14ac:dyDescent="0.3">
      <c r="A38" t="str">
        <f>IF('EPWP Employees'!A37="","",'EPWP Employees'!A37)</f>
        <v>NAME 27</v>
      </c>
      <c r="B38" t="str">
        <f>IF('EPWP Employees'!B37="","",'EPWP Employees'!B37)</f>
        <v>ID NUMBER 27</v>
      </c>
      <c r="C38" s="83" t="b">
        <v>0</v>
      </c>
      <c r="D38" s="83" t="b">
        <v>0</v>
      </c>
      <c r="E38" s="83" t="b">
        <v>0</v>
      </c>
      <c r="F38" s="83" t="b">
        <v>0</v>
      </c>
      <c r="G38" s="83" t="b">
        <v>0</v>
      </c>
      <c r="H38" s="83" t="b">
        <v>0</v>
      </c>
      <c r="I38" s="83" t="b">
        <v>0</v>
      </c>
      <c r="J38" s="83" t="b">
        <v>0</v>
      </c>
      <c r="K38" s="83" t="b">
        <v>0</v>
      </c>
      <c r="L38" s="75">
        <f t="shared" si="0"/>
        <v>0</v>
      </c>
    </row>
    <row r="39" spans="1:12" x14ac:dyDescent="0.3">
      <c r="A39" t="str">
        <f>IF('EPWP Employees'!A38="","",'EPWP Employees'!A38)</f>
        <v>NAME 28</v>
      </c>
      <c r="B39" t="str">
        <f>IF('EPWP Employees'!B38="","",'EPWP Employees'!B38)</f>
        <v>ID NUMBER 28</v>
      </c>
      <c r="C39" s="83" t="b">
        <v>0</v>
      </c>
      <c r="D39" s="83" t="b">
        <v>0</v>
      </c>
      <c r="E39" s="83" t="b">
        <v>0</v>
      </c>
      <c r="F39" s="83" t="b">
        <v>0</v>
      </c>
      <c r="G39" s="83" t="b">
        <v>0</v>
      </c>
      <c r="H39" s="83" t="b">
        <v>0</v>
      </c>
      <c r="I39" s="83" t="b">
        <v>0</v>
      </c>
      <c r="J39" s="83" t="b">
        <v>0</v>
      </c>
      <c r="K39" s="83" t="b">
        <v>0</v>
      </c>
      <c r="L39" s="75">
        <f t="shared" si="0"/>
        <v>0</v>
      </c>
    </row>
    <row r="40" spans="1:12" x14ac:dyDescent="0.3">
      <c r="A40" t="str">
        <f>IF('EPWP Employees'!A39="","",'EPWP Employees'!A39)</f>
        <v>NAME 29</v>
      </c>
      <c r="B40" t="str">
        <f>IF('EPWP Employees'!B39="","",'EPWP Employees'!B39)</f>
        <v>ID NUMBER 29</v>
      </c>
      <c r="C40" s="83" t="b">
        <v>0</v>
      </c>
      <c r="D40" s="83" t="b">
        <v>0</v>
      </c>
      <c r="E40" s="83" t="b">
        <v>0</v>
      </c>
      <c r="F40" s="83" t="b">
        <v>0</v>
      </c>
      <c r="G40" s="83" t="b">
        <v>0</v>
      </c>
      <c r="H40" s="83" t="b">
        <v>0</v>
      </c>
      <c r="I40" s="83" t="b">
        <v>0</v>
      </c>
      <c r="J40" s="83" t="b">
        <v>0</v>
      </c>
      <c r="K40" s="83" t="b">
        <v>0</v>
      </c>
      <c r="L40" s="75">
        <f t="shared" si="0"/>
        <v>0</v>
      </c>
    </row>
    <row r="41" spans="1:12" x14ac:dyDescent="0.3">
      <c r="A41" t="str">
        <f>IF('EPWP Employees'!A40="","",'EPWP Employees'!A40)</f>
        <v>NAME 30</v>
      </c>
      <c r="B41" t="str">
        <f>IF('EPWP Employees'!B40="","",'EPWP Employees'!B40)</f>
        <v>ID NUMBER 30</v>
      </c>
      <c r="C41" s="83" t="b">
        <v>0</v>
      </c>
      <c r="D41" s="83" t="b">
        <v>0</v>
      </c>
      <c r="E41" s="83" t="b">
        <v>0</v>
      </c>
      <c r="F41" s="83" t="b">
        <v>0</v>
      </c>
      <c r="G41" s="83" t="b">
        <v>0</v>
      </c>
      <c r="H41" s="83" t="b">
        <v>0</v>
      </c>
      <c r="I41" s="83" t="b">
        <v>0</v>
      </c>
      <c r="J41" s="83" t="b">
        <v>0</v>
      </c>
      <c r="K41" s="83" t="b">
        <v>0</v>
      </c>
      <c r="L41" s="75">
        <f t="shared" si="0"/>
        <v>0</v>
      </c>
    </row>
    <row r="42" spans="1:12" x14ac:dyDescent="0.3">
      <c r="A42" t="str">
        <f>IF('EPWP Employees'!A41="","",'EPWP Employees'!A41)</f>
        <v>NAME 31</v>
      </c>
      <c r="B42" t="str">
        <f>IF('EPWP Employees'!B41="","",'EPWP Employees'!B41)</f>
        <v>ID NUMBER 31</v>
      </c>
      <c r="C42" s="83" t="b">
        <v>0</v>
      </c>
      <c r="D42" s="83" t="b">
        <v>0</v>
      </c>
      <c r="E42" s="83" t="b">
        <v>0</v>
      </c>
      <c r="F42" s="83" t="b">
        <v>0</v>
      </c>
      <c r="G42" s="83" t="b">
        <v>0</v>
      </c>
      <c r="H42" s="83" t="b">
        <v>0</v>
      </c>
      <c r="I42" s="83" t="b">
        <v>0</v>
      </c>
      <c r="J42" s="83" t="b">
        <v>0</v>
      </c>
      <c r="K42" s="83" t="b">
        <v>0</v>
      </c>
      <c r="L42" s="75">
        <f t="shared" ref="L42:L48" si="1">COUNTIF(C42:K42,TRUE)</f>
        <v>0</v>
      </c>
    </row>
    <row r="43" spans="1:12" x14ac:dyDescent="0.3">
      <c r="A43" t="str">
        <f>IF('EPWP Employees'!A42="","",'EPWP Employees'!A42)</f>
        <v>NAME 32</v>
      </c>
      <c r="B43" t="str">
        <f>IF('EPWP Employees'!B42="","",'EPWP Employees'!B42)</f>
        <v>ID NUMBER 32</v>
      </c>
      <c r="C43" s="83" t="b">
        <v>0</v>
      </c>
      <c r="D43" s="83" t="b">
        <v>0</v>
      </c>
      <c r="E43" s="83" t="b">
        <v>0</v>
      </c>
      <c r="F43" s="83" t="b">
        <v>0</v>
      </c>
      <c r="G43" s="83" t="b">
        <v>0</v>
      </c>
      <c r="H43" s="83" t="b">
        <v>0</v>
      </c>
      <c r="I43" s="83" t="b">
        <v>0</v>
      </c>
      <c r="J43" s="83" t="b">
        <v>0</v>
      </c>
      <c r="K43" s="83" t="b">
        <v>0</v>
      </c>
      <c r="L43" s="75">
        <f t="shared" si="1"/>
        <v>0</v>
      </c>
    </row>
    <row r="44" spans="1:12" x14ac:dyDescent="0.3">
      <c r="A44" t="str">
        <f>IF('EPWP Employees'!A43="","",'EPWP Employees'!A43)</f>
        <v>NAME 33</v>
      </c>
      <c r="B44" t="str">
        <f>IF('EPWP Employees'!B43="","",'EPWP Employees'!B43)</f>
        <v>ID NUMBER 33</v>
      </c>
      <c r="C44" s="83" t="b">
        <v>0</v>
      </c>
      <c r="D44" s="83" t="b">
        <v>0</v>
      </c>
      <c r="E44" s="83" t="b">
        <v>0</v>
      </c>
      <c r="F44" s="83" t="b">
        <v>0</v>
      </c>
      <c r="G44" s="83" t="b">
        <v>0</v>
      </c>
      <c r="H44" s="83" t="b">
        <v>0</v>
      </c>
      <c r="I44" s="83" t="b">
        <v>0</v>
      </c>
      <c r="J44" s="83" t="b">
        <v>0</v>
      </c>
      <c r="K44" s="83" t="b">
        <v>0</v>
      </c>
      <c r="L44" s="75">
        <f t="shared" si="1"/>
        <v>0</v>
      </c>
    </row>
    <row r="45" spans="1:12" x14ac:dyDescent="0.3">
      <c r="A45" t="str">
        <f>IF('EPWP Employees'!A44="","",'EPWP Employees'!A44)</f>
        <v>NAME 34</v>
      </c>
      <c r="B45" t="str">
        <f>IF('EPWP Employees'!B44="","",'EPWP Employees'!B44)</f>
        <v>ID NUMBER 34</v>
      </c>
      <c r="C45" s="83" t="b">
        <v>0</v>
      </c>
      <c r="D45" s="83" t="b">
        <v>0</v>
      </c>
      <c r="E45" s="83" t="b">
        <v>0</v>
      </c>
      <c r="F45" s="83" t="b">
        <v>0</v>
      </c>
      <c r="G45" s="83" t="b">
        <v>0</v>
      </c>
      <c r="H45" s="83" t="b">
        <v>0</v>
      </c>
      <c r="I45" s="83" t="b">
        <v>0</v>
      </c>
      <c r="J45" s="83" t="b">
        <v>0</v>
      </c>
      <c r="K45" s="83" t="b">
        <v>0</v>
      </c>
      <c r="L45" s="75">
        <f t="shared" si="1"/>
        <v>0</v>
      </c>
    </row>
    <row r="46" spans="1:12" x14ac:dyDescent="0.3">
      <c r="A46" t="str">
        <f>IF('EPWP Employees'!A45="","",'EPWP Employees'!A45)</f>
        <v>NAME 35</v>
      </c>
      <c r="B46" t="str">
        <f>IF('EPWP Employees'!B45="","",'EPWP Employees'!B45)</f>
        <v>ID NUMBER 35</v>
      </c>
      <c r="C46" s="83" t="b">
        <v>0</v>
      </c>
      <c r="D46" s="83" t="b">
        <v>0</v>
      </c>
      <c r="E46" s="83" t="b">
        <v>0</v>
      </c>
      <c r="F46" s="83" t="b">
        <v>0</v>
      </c>
      <c r="G46" s="83" t="b">
        <v>0</v>
      </c>
      <c r="H46" s="83" t="b">
        <v>0</v>
      </c>
      <c r="I46" s="83" t="b">
        <v>0</v>
      </c>
      <c r="J46" s="83" t="b">
        <v>0</v>
      </c>
      <c r="K46" s="83" t="b">
        <v>0</v>
      </c>
      <c r="L46" s="75">
        <f t="shared" si="1"/>
        <v>0</v>
      </c>
    </row>
    <row r="47" spans="1:12" x14ac:dyDescent="0.3">
      <c r="A47" t="str">
        <f>IF('EPWP Employees'!A46="","",'EPWP Employees'!A46)</f>
        <v>NAME 36</v>
      </c>
      <c r="B47" t="str">
        <f>IF('EPWP Employees'!B46="","",'EPWP Employees'!B46)</f>
        <v>ID NUMBER 36</v>
      </c>
      <c r="C47" s="83" t="b">
        <v>0</v>
      </c>
      <c r="D47" s="83" t="b">
        <v>0</v>
      </c>
      <c r="E47" s="83" t="b">
        <v>0</v>
      </c>
      <c r="F47" s="83" t="b">
        <v>0</v>
      </c>
      <c r="G47" s="83" t="b">
        <v>0</v>
      </c>
      <c r="H47" s="83" t="b">
        <v>0</v>
      </c>
      <c r="I47" s="83" t="b">
        <v>0</v>
      </c>
      <c r="J47" s="83" t="b">
        <v>0</v>
      </c>
      <c r="K47" s="83" t="b">
        <v>0</v>
      </c>
      <c r="L47" s="75">
        <f t="shared" si="1"/>
        <v>0</v>
      </c>
    </row>
    <row r="48" spans="1:12" x14ac:dyDescent="0.3">
      <c r="A48" t="str">
        <f>IF('EPWP Employees'!A47="","",'EPWP Employees'!A47)</f>
        <v>NAME 37</v>
      </c>
      <c r="B48" t="str">
        <f>IF('EPWP Employees'!B47="","",'EPWP Employees'!B47)</f>
        <v>ID NUMBER 37</v>
      </c>
      <c r="C48" s="83" t="b">
        <v>0</v>
      </c>
      <c r="D48" s="83" t="b">
        <v>0</v>
      </c>
      <c r="E48" s="83" t="b">
        <v>0</v>
      </c>
      <c r="F48" s="83" t="b">
        <v>0</v>
      </c>
      <c r="G48" s="83" t="b">
        <v>0</v>
      </c>
      <c r="H48" s="83" t="b">
        <v>0</v>
      </c>
      <c r="I48" s="83" t="b">
        <v>0</v>
      </c>
      <c r="J48" s="83" t="b">
        <v>0</v>
      </c>
      <c r="K48" s="83" t="b">
        <v>0</v>
      </c>
      <c r="L48" s="75">
        <f t="shared" si="1"/>
        <v>0</v>
      </c>
    </row>
    <row r="49" spans="1:12" x14ac:dyDescent="0.3">
      <c r="A49" t="str">
        <f>IF('EPWP Employees'!A48="","",'EPWP Employees'!A48)</f>
        <v>NAME 38</v>
      </c>
      <c r="B49" t="str">
        <f>IF('EPWP Employees'!B48="","",'EPWP Employees'!B48)</f>
        <v>ID NUMBER 38</v>
      </c>
      <c r="C49" s="83" t="b">
        <v>0</v>
      </c>
      <c r="D49" s="83" t="b">
        <v>0</v>
      </c>
      <c r="E49" s="83" t="b">
        <v>0</v>
      </c>
      <c r="F49" s="83" t="b">
        <v>0</v>
      </c>
      <c r="G49" s="83" t="b">
        <v>0</v>
      </c>
      <c r="H49" s="83" t="b">
        <v>0</v>
      </c>
      <c r="I49" s="83" t="b">
        <v>0</v>
      </c>
      <c r="J49" s="83" t="b">
        <v>0</v>
      </c>
      <c r="K49" s="83" t="b">
        <v>0</v>
      </c>
      <c r="L49" s="75">
        <f t="shared" ref="L49:L56" si="2">COUNTIF(C49:K49,TRUE)</f>
        <v>0</v>
      </c>
    </row>
    <row r="50" spans="1:12" x14ac:dyDescent="0.3">
      <c r="A50" t="str">
        <f>IF('EPWP Employees'!A49="","",'EPWP Employees'!A49)</f>
        <v>NAME 39</v>
      </c>
      <c r="B50" t="str">
        <f>IF('EPWP Employees'!B49="","",'EPWP Employees'!B49)</f>
        <v>ID NUMBER 39</v>
      </c>
      <c r="C50" s="83" t="b">
        <v>0</v>
      </c>
      <c r="D50" s="83" t="b">
        <v>0</v>
      </c>
      <c r="E50" s="83" t="b">
        <v>0</v>
      </c>
      <c r="F50" s="83" t="b">
        <v>0</v>
      </c>
      <c r="G50" s="83" t="b">
        <v>0</v>
      </c>
      <c r="H50" s="83" t="b">
        <v>0</v>
      </c>
      <c r="I50" s="83" t="b">
        <v>0</v>
      </c>
      <c r="J50" s="83" t="b">
        <v>0</v>
      </c>
      <c r="K50" s="83" t="b">
        <v>0</v>
      </c>
      <c r="L50" s="75">
        <f t="shared" si="2"/>
        <v>0</v>
      </c>
    </row>
    <row r="51" spans="1:12" x14ac:dyDescent="0.3">
      <c r="A51" t="str">
        <f>IF('EPWP Employees'!A50="","",'EPWP Employees'!A50)</f>
        <v>NAME 40</v>
      </c>
      <c r="B51" t="str">
        <f>IF('EPWP Employees'!B50="","",'EPWP Employees'!B50)</f>
        <v>ID NUMBER 40</v>
      </c>
      <c r="C51" s="83" t="b">
        <v>0</v>
      </c>
      <c r="D51" s="83" t="b">
        <v>0</v>
      </c>
      <c r="E51" s="83" t="b">
        <v>0</v>
      </c>
      <c r="F51" s="83" t="b">
        <v>0</v>
      </c>
      <c r="G51" s="83" t="b">
        <v>0</v>
      </c>
      <c r="H51" s="83" t="b">
        <v>0</v>
      </c>
      <c r="I51" s="83" t="b">
        <v>0</v>
      </c>
      <c r="J51" s="83" t="b">
        <v>0</v>
      </c>
      <c r="K51" s="83" t="b">
        <v>0</v>
      </c>
      <c r="L51" s="75">
        <f t="shared" si="2"/>
        <v>0</v>
      </c>
    </row>
    <row r="52" spans="1:12" x14ac:dyDescent="0.3">
      <c r="A52" t="str">
        <f>IF('EPWP Employees'!A51="","",'EPWP Employees'!A51)</f>
        <v>NAME 41</v>
      </c>
      <c r="B52" t="str">
        <f>IF('EPWP Employees'!B51="","",'EPWP Employees'!B51)</f>
        <v>ID NUMBER 41</v>
      </c>
      <c r="C52" s="83" t="b">
        <v>0</v>
      </c>
      <c r="D52" s="83" t="b">
        <v>0</v>
      </c>
      <c r="E52" s="83" t="b">
        <v>0</v>
      </c>
      <c r="F52" s="83" t="b">
        <v>0</v>
      </c>
      <c r="G52" s="83" t="b">
        <v>0</v>
      </c>
      <c r="H52" s="83" t="b">
        <v>0</v>
      </c>
      <c r="I52" s="83" t="b">
        <v>0</v>
      </c>
      <c r="J52" s="83" t="b">
        <v>0</v>
      </c>
      <c r="K52" s="83" t="b">
        <v>0</v>
      </c>
      <c r="L52" s="75">
        <f t="shared" si="2"/>
        <v>0</v>
      </c>
    </row>
    <row r="53" spans="1:12" x14ac:dyDescent="0.3">
      <c r="A53" t="str">
        <f>IF('EPWP Employees'!A52="","",'EPWP Employees'!A52)</f>
        <v>NAME 42</v>
      </c>
      <c r="B53" t="str">
        <f>IF('EPWP Employees'!B52="","",'EPWP Employees'!B52)</f>
        <v>ID NUMBER 42</v>
      </c>
      <c r="C53" s="83" t="b">
        <v>0</v>
      </c>
      <c r="D53" s="83" t="b">
        <v>0</v>
      </c>
      <c r="E53" s="83" t="b">
        <v>0</v>
      </c>
      <c r="F53" s="83" t="b">
        <v>0</v>
      </c>
      <c r="G53" s="83" t="b">
        <v>0</v>
      </c>
      <c r="H53" s="83" t="b">
        <v>0</v>
      </c>
      <c r="I53" s="83" t="b">
        <v>0</v>
      </c>
      <c r="J53" s="83" t="b">
        <v>0</v>
      </c>
      <c r="K53" s="83" t="b">
        <v>0</v>
      </c>
      <c r="L53" s="75">
        <f t="shared" si="2"/>
        <v>0</v>
      </c>
    </row>
    <row r="54" spans="1:12" x14ac:dyDescent="0.3">
      <c r="A54" t="str">
        <f>IF('EPWP Employees'!A53="","",'EPWP Employees'!A53)</f>
        <v>NAME 43</v>
      </c>
      <c r="B54" t="str">
        <f>IF('EPWP Employees'!B53="","",'EPWP Employees'!B53)</f>
        <v>ID NUMBER 43</v>
      </c>
      <c r="C54" s="83" t="b">
        <v>0</v>
      </c>
      <c r="D54" s="83" t="b">
        <v>0</v>
      </c>
      <c r="E54" s="83" t="b">
        <v>0</v>
      </c>
      <c r="F54" s="83" t="b">
        <v>0</v>
      </c>
      <c r="G54" s="83" t="b">
        <v>0</v>
      </c>
      <c r="H54" s="83" t="b">
        <v>0</v>
      </c>
      <c r="I54" s="83" t="b">
        <v>0</v>
      </c>
      <c r="J54" s="83" t="b">
        <v>0</v>
      </c>
      <c r="K54" s="83" t="b">
        <v>0</v>
      </c>
      <c r="L54" s="75">
        <f t="shared" si="2"/>
        <v>0</v>
      </c>
    </row>
    <row r="55" spans="1:12" x14ac:dyDescent="0.3">
      <c r="A55" t="str">
        <f>IF('EPWP Employees'!A54="","",'EPWP Employees'!A54)</f>
        <v>NAME 44</v>
      </c>
      <c r="B55" t="str">
        <f>IF('EPWP Employees'!B54="","",'EPWP Employees'!B54)</f>
        <v>ID NUMBER 44</v>
      </c>
      <c r="C55" s="83" t="b">
        <v>0</v>
      </c>
      <c r="D55" s="83" t="b">
        <v>0</v>
      </c>
      <c r="E55" s="83" t="b">
        <v>0</v>
      </c>
      <c r="F55" s="83" t="b">
        <v>0</v>
      </c>
      <c r="G55" s="83" t="b">
        <v>0</v>
      </c>
      <c r="H55" s="83" t="b">
        <v>0</v>
      </c>
      <c r="I55" s="83" t="b">
        <v>0</v>
      </c>
      <c r="J55" s="83" t="b">
        <v>0</v>
      </c>
      <c r="K55" s="83" t="b">
        <v>0</v>
      </c>
      <c r="L55" s="75">
        <f t="shared" si="2"/>
        <v>0</v>
      </c>
    </row>
    <row r="56" spans="1:12" x14ac:dyDescent="0.3">
      <c r="A56" t="str">
        <f>IF('EPWP Employees'!A55="","",'EPWP Employees'!A55)</f>
        <v>NAME 45</v>
      </c>
      <c r="B56" t="str">
        <f>IF('EPWP Employees'!B55="","",'EPWP Employees'!B55)</f>
        <v>ID NUMBER 45</v>
      </c>
      <c r="C56" s="83" t="b">
        <v>0</v>
      </c>
      <c r="D56" s="83" t="b">
        <v>0</v>
      </c>
      <c r="E56" s="83" t="b">
        <v>0</v>
      </c>
      <c r="F56" s="83" t="b">
        <v>0</v>
      </c>
      <c r="G56" s="83" t="b">
        <v>0</v>
      </c>
      <c r="H56" s="83" t="b">
        <v>0</v>
      </c>
      <c r="I56" s="83" t="b">
        <v>0</v>
      </c>
      <c r="J56" s="83" t="b">
        <v>0</v>
      </c>
      <c r="K56" s="83" t="b">
        <v>0</v>
      </c>
      <c r="L56" s="75">
        <f t="shared" si="2"/>
        <v>0</v>
      </c>
    </row>
    <row r="57" spans="1:12" x14ac:dyDescent="0.3">
      <c r="A57" s="40"/>
      <c r="B57" s="40"/>
      <c r="C57" s="40"/>
      <c r="D57" s="40"/>
      <c r="E57" s="40"/>
      <c r="F57" s="40"/>
      <c r="J57"/>
      <c r="K57"/>
    </row>
    <row r="58" spans="1:12" x14ac:dyDescent="0.3">
      <c r="A58" s="121"/>
      <c r="B58" s="121"/>
      <c r="C58" s="121"/>
      <c r="D58" s="121"/>
      <c r="E58" s="34"/>
      <c r="F58" s="34"/>
      <c r="H58" s="121"/>
      <c r="I58" s="121"/>
      <c r="J58" s="121"/>
      <c r="K58" s="121"/>
      <c r="L58" s="121"/>
    </row>
    <row r="59" spans="1:12" x14ac:dyDescent="0.3">
      <c r="A59" s="119"/>
      <c r="B59" s="119"/>
      <c r="C59" s="119"/>
      <c r="D59" s="119"/>
      <c r="E59" s="34"/>
      <c r="F59" s="34"/>
      <c r="H59" s="30"/>
      <c r="I59" s="30"/>
      <c r="J59" s="30"/>
      <c r="K59" s="30"/>
      <c r="L59" s="30"/>
    </row>
    <row r="60" spans="1:12" x14ac:dyDescent="0.3">
      <c r="A60" s="107"/>
      <c r="B60" s="107"/>
      <c r="C60" s="107"/>
      <c r="D60" s="107"/>
      <c r="E60" s="30"/>
      <c r="F60" s="30"/>
      <c r="H60" s="30"/>
      <c r="I60" s="30"/>
      <c r="J60" s="30"/>
      <c r="K60" s="30"/>
      <c r="L60" s="30"/>
    </row>
    <row r="61" spans="1:12" x14ac:dyDescent="0.3">
      <c r="A61" s="120" t="s">
        <v>44</v>
      </c>
      <c r="B61" s="120"/>
      <c r="C61" s="120"/>
      <c r="D61" s="120"/>
      <c r="E61" s="41"/>
      <c r="F61" s="41"/>
      <c r="H61" s="30"/>
      <c r="I61" s="30"/>
      <c r="J61" s="30"/>
      <c r="K61" s="30"/>
      <c r="L61" s="30"/>
    </row>
    <row r="62" spans="1:12" x14ac:dyDescent="0.3">
      <c r="A62" s="119"/>
      <c r="B62" s="119"/>
      <c r="C62" s="119"/>
      <c r="D62" s="119"/>
      <c r="E62" s="30"/>
      <c r="F62" s="30"/>
      <c r="H62" s="30"/>
      <c r="I62" s="30"/>
      <c r="J62" s="30"/>
      <c r="K62" s="30"/>
      <c r="L62" s="30"/>
    </row>
    <row r="63" spans="1:12" x14ac:dyDescent="0.3">
      <c r="A63" s="105" t="str">
        <f ca="1">I4</f>
        <v>26 March 2026</v>
      </c>
      <c r="B63" s="105"/>
      <c r="C63" s="105"/>
      <c r="D63" s="105"/>
      <c r="E63" s="61"/>
      <c r="F63" s="61"/>
      <c r="H63" s="91"/>
      <c r="I63" s="91"/>
      <c r="J63" s="91"/>
      <c r="K63" s="91"/>
      <c r="L63" s="91"/>
    </row>
    <row r="64" spans="1:12" ht="25.05" customHeight="1" x14ac:dyDescent="0.3">
      <c r="A64" s="120" t="s">
        <v>0</v>
      </c>
      <c r="B64" s="120"/>
      <c r="C64" s="120"/>
      <c r="D64" s="120"/>
      <c r="E64" s="30"/>
      <c r="F64" s="30"/>
      <c r="H64" s="41"/>
      <c r="I64" s="41"/>
      <c r="J64" s="41"/>
      <c r="K64" s="41"/>
      <c r="L64" s="41"/>
    </row>
  </sheetData>
  <mergeCells count="24">
    <mergeCell ref="A1:F1"/>
    <mergeCell ref="G1:L1"/>
    <mergeCell ref="A3:D3"/>
    <mergeCell ref="I3:L3"/>
    <mergeCell ref="A4:D4"/>
    <mergeCell ref="I4:L4"/>
    <mergeCell ref="A8:D8"/>
    <mergeCell ref="I8:L8"/>
    <mergeCell ref="A5:D5"/>
    <mergeCell ref="I5:L5"/>
    <mergeCell ref="A6:D6"/>
    <mergeCell ref="I6:L6"/>
    <mergeCell ref="A7:D7"/>
    <mergeCell ref="I7:L7"/>
    <mergeCell ref="H58:L58"/>
    <mergeCell ref="A59:D59"/>
    <mergeCell ref="A60:D60"/>
    <mergeCell ref="A61:D61"/>
    <mergeCell ref="A58:D58"/>
    <mergeCell ref="A10:A11"/>
    <mergeCell ref="B10:B11"/>
    <mergeCell ref="A62:D62"/>
    <mergeCell ref="A63:D63"/>
    <mergeCell ref="A64:D64"/>
  </mergeCells>
  <pageMargins left="0.7" right="0.7" top="1.542" bottom="0.75" header="0.3" footer="0.3"/>
  <pageSetup paperSize="9" scale="72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AE44-3889-494F-83EF-339450C837A5}">
  <sheetPr>
    <pageSetUpPr fitToPage="1"/>
  </sheetPr>
  <dimension ref="A1:L55"/>
  <sheetViews>
    <sheetView view="pageBreakPreview" topLeftCell="A34" zoomScaleNormal="100" zoomScaleSheetLayoutView="100" workbookViewId="0">
      <selection activeCell="A31" sqref="A31:B55"/>
    </sheetView>
  </sheetViews>
  <sheetFormatPr defaultRowHeight="14.4" x14ac:dyDescent="0.3"/>
  <cols>
    <col min="1" max="1" width="27.88671875" customWidth="1"/>
    <col min="2" max="2" width="19" customWidth="1"/>
    <col min="3" max="3" width="23" customWidth="1"/>
    <col min="4" max="4" width="27.33203125" customWidth="1"/>
    <col min="5" max="9" width="6.77734375" bestFit="1" customWidth="1"/>
    <col min="10" max="11" width="6.77734375" style="73" bestFit="1" customWidth="1"/>
    <col min="12" max="12" width="5.5546875" bestFit="1" customWidth="1"/>
    <col min="13" max="13" width="12.44140625" bestFit="1" customWidth="1"/>
    <col min="14" max="16" width="10.77734375" customWidth="1"/>
  </cols>
  <sheetData>
    <row r="1" spans="1:12" ht="22.8" x14ac:dyDescent="0.3">
      <c r="A1" s="60" t="s">
        <v>48</v>
      </c>
      <c r="B1" s="60"/>
      <c r="C1" s="60"/>
      <c r="D1" s="60"/>
      <c r="E1" s="60"/>
      <c r="F1" s="60"/>
      <c r="G1" s="58"/>
      <c r="H1" s="84"/>
      <c r="I1" s="84"/>
      <c r="J1" s="84"/>
      <c r="K1" s="84"/>
      <c r="L1" s="58" t="s">
        <v>111</v>
      </c>
    </row>
    <row r="2" spans="1:12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68"/>
      <c r="K2" s="68"/>
      <c r="L2" s="10"/>
    </row>
    <row r="3" spans="1:12" x14ac:dyDescent="0.3">
      <c r="A3" s="117" t="s">
        <v>2</v>
      </c>
      <c r="B3" s="117"/>
      <c r="C3" s="117"/>
      <c r="D3" s="117"/>
      <c r="E3" s="77"/>
      <c r="F3" s="77"/>
      <c r="G3" s="77"/>
      <c r="H3" s="57"/>
      <c r="I3" s="85"/>
      <c r="J3" s="85"/>
      <c r="K3" s="85"/>
      <c r="L3" s="85"/>
    </row>
    <row r="4" spans="1:12" x14ac:dyDescent="0.3">
      <c r="A4" s="117" t="s">
        <v>55</v>
      </c>
      <c r="B4" s="117"/>
      <c r="C4" s="117"/>
      <c r="D4" s="117"/>
      <c r="E4" s="77"/>
      <c r="F4" s="77"/>
      <c r="G4" s="77"/>
      <c r="H4" s="57"/>
      <c r="I4" s="87"/>
      <c r="J4" s="87"/>
      <c r="K4" s="87"/>
      <c r="L4" s="87"/>
    </row>
    <row r="5" spans="1:12" x14ac:dyDescent="0.3">
      <c r="A5" s="117" t="s">
        <v>56</v>
      </c>
      <c r="B5" s="117"/>
      <c r="C5" s="117"/>
      <c r="D5" s="117"/>
      <c r="E5" s="77"/>
      <c r="F5" s="77"/>
      <c r="G5" s="77"/>
      <c r="H5" s="57"/>
      <c r="I5" s="85"/>
      <c r="J5" s="85"/>
      <c r="K5" s="85"/>
      <c r="L5" s="85"/>
    </row>
    <row r="6" spans="1:12" x14ac:dyDescent="0.3">
      <c r="A6" s="117" t="s">
        <v>47</v>
      </c>
      <c r="B6" s="117"/>
      <c r="C6" s="117"/>
      <c r="D6" s="117"/>
      <c r="E6" s="77"/>
      <c r="F6" s="77"/>
      <c r="G6" s="77"/>
      <c r="H6" s="57"/>
      <c r="I6" s="85"/>
      <c r="J6" s="85"/>
      <c r="K6" s="85"/>
      <c r="L6" s="85"/>
    </row>
    <row r="7" spans="1:12" x14ac:dyDescent="0.3">
      <c r="A7" s="117" t="s">
        <v>57</v>
      </c>
      <c r="B7" s="117"/>
      <c r="C7" s="117"/>
      <c r="D7" s="117"/>
      <c r="E7" s="77"/>
      <c r="F7" s="77"/>
      <c r="G7" s="77"/>
      <c r="H7" s="57"/>
      <c r="I7" s="86"/>
      <c r="J7" s="86"/>
      <c r="K7" s="86"/>
      <c r="L7" s="86"/>
    </row>
    <row r="8" spans="1:12" x14ac:dyDescent="0.3">
      <c r="A8" s="118" t="s">
        <v>65</v>
      </c>
      <c r="B8" s="118"/>
      <c r="C8" s="118"/>
      <c r="D8" s="118"/>
      <c r="E8" s="77"/>
      <c r="F8" s="77"/>
      <c r="G8" s="77"/>
      <c r="H8" s="57"/>
      <c r="I8" s="85"/>
      <c r="J8" s="85"/>
      <c r="K8" s="85"/>
      <c r="L8" s="85"/>
    </row>
    <row r="9" spans="1:12" x14ac:dyDescent="0.3">
      <c r="A9" s="76"/>
      <c r="B9" s="76"/>
      <c r="C9" s="76"/>
      <c r="D9" s="76"/>
      <c r="E9" s="77"/>
      <c r="F9" s="77"/>
      <c r="G9" s="77"/>
      <c r="H9" s="57"/>
      <c r="I9" s="35"/>
      <c r="J9" s="35"/>
      <c r="K9" s="35"/>
      <c r="L9" s="35"/>
    </row>
    <row r="10" spans="1:12" x14ac:dyDescent="0.3">
      <c r="A10" t="s">
        <v>66</v>
      </c>
      <c r="B10" t="s">
        <v>67</v>
      </c>
      <c r="C10" t="s">
        <v>63</v>
      </c>
      <c r="D10" t="s">
        <v>68</v>
      </c>
      <c r="H10" s="2"/>
      <c r="I10" s="2"/>
      <c r="J10" s="67"/>
      <c r="K10" s="67"/>
      <c r="L10" s="28"/>
    </row>
    <row r="11" spans="1:12" x14ac:dyDescent="0.3">
      <c r="A11" t="s">
        <v>69</v>
      </c>
      <c r="B11" t="s">
        <v>90</v>
      </c>
      <c r="C11" s="80"/>
      <c r="D11" s="80"/>
      <c r="E11" s="80"/>
      <c r="F11" s="80"/>
      <c r="G11" s="80"/>
      <c r="H11" s="81"/>
      <c r="I11" s="81"/>
      <c r="J11" s="78"/>
      <c r="K11" s="78"/>
      <c r="L11" s="78"/>
    </row>
    <row r="12" spans="1:12" x14ac:dyDescent="0.3">
      <c r="A12" t="s">
        <v>70</v>
      </c>
      <c r="B12" t="s">
        <v>91</v>
      </c>
      <c r="C12" s="82"/>
      <c r="D12" s="82"/>
      <c r="E12" s="82"/>
      <c r="F12" s="82"/>
      <c r="G12" s="82"/>
      <c r="H12" s="82"/>
      <c r="I12" s="82"/>
      <c r="J12" s="82"/>
      <c r="K12" s="82"/>
      <c r="L12" s="79"/>
    </row>
    <row r="13" spans="1:12" x14ac:dyDescent="0.3">
      <c r="A13" t="s">
        <v>71</v>
      </c>
      <c r="B13" t="s">
        <v>92</v>
      </c>
      <c r="C13" s="80"/>
      <c r="D13" s="80"/>
      <c r="E13" s="80"/>
      <c r="F13" s="80"/>
      <c r="G13" s="80"/>
      <c r="H13" s="80"/>
      <c r="I13" s="80"/>
      <c r="J13" s="80"/>
      <c r="K13" s="80"/>
      <c r="L13" s="75"/>
    </row>
    <row r="14" spans="1:12" x14ac:dyDescent="0.3">
      <c r="A14" t="s">
        <v>72</v>
      </c>
      <c r="B14" t="s">
        <v>93</v>
      </c>
      <c r="C14" s="80"/>
      <c r="D14" s="80"/>
      <c r="E14" s="80"/>
      <c r="F14" s="80"/>
      <c r="G14" s="80"/>
      <c r="H14" s="80"/>
      <c r="I14" s="80"/>
      <c r="J14" s="80"/>
      <c r="K14" s="80"/>
      <c r="L14" s="75"/>
    </row>
    <row r="15" spans="1:12" x14ac:dyDescent="0.3">
      <c r="A15" t="s">
        <v>73</v>
      </c>
      <c r="B15" t="s">
        <v>94</v>
      </c>
      <c r="C15" s="80"/>
      <c r="D15" s="80"/>
      <c r="E15" s="80"/>
      <c r="F15" s="80"/>
      <c r="G15" s="80"/>
      <c r="H15" s="80"/>
      <c r="I15" s="80"/>
      <c r="J15" s="80"/>
      <c r="K15" s="80"/>
      <c r="L15" s="75"/>
    </row>
    <row r="16" spans="1:12" x14ac:dyDescent="0.3">
      <c r="A16" t="s">
        <v>74</v>
      </c>
      <c r="B16" t="s">
        <v>95</v>
      </c>
      <c r="C16" s="80"/>
      <c r="D16" s="80"/>
      <c r="E16" s="80"/>
      <c r="F16" s="80"/>
      <c r="G16" s="80"/>
      <c r="H16" s="80"/>
      <c r="I16" s="80"/>
      <c r="J16" s="80"/>
      <c r="K16" s="80"/>
      <c r="L16" s="75"/>
    </row>
    <row r="17" spans="1:12" x14ac:dyDescent="0.3">
      <c r="A17" t="s">
        <v>75</v>
      </c>
      <c r="B17" t="s">
        <v>96</v>
      </c>
      <c r="C17" s="80"/>
      <c r="D17" s="80"/>
      <c r="E17" s="80"/>
      <c r="F17" s="80"/>
      <c r="G17" s="80"/>
      <c r="H17" s="80"/>
      <c r="I17" s="80"/>
      <c r="J17" s="80"/>
      <c r="K17" s="80"/>
      <c r="L17" s="75"/>
    </row>
    <row r="18" spans="1:12" x14ac:dyDescent="0.3">
      <c r="A18" t="s">
        <v>76</v>
      </c>
      <c r="B18" t="s">
        <v>97</v>
      </c>
      <c r="C18" s="80"/>
      <c r="D18" s="80"/>
      <c r="E18" s="80"/>
      <c r="F18" s="80"/>
      <c r="G18" s="80"/>
      <c r="H18" s="80"/>
      <c r="I18" s="80"/>
      <c r="J18" s="80"/>
      <c r="K18" s="80"/>
      <c r="L18" s="75"/>
    </row>
    <row r="19" spans="1:12" x14ac:dyDescent="0.3">
      <c r="A19" t="s">
        <v>77</v>
      </c>
      <c r="B19" t="s">
        <v>98</v>
      </c>
      <c r="C19" s="80"/>
      <c r="D19" s="80"/>
      <c r="E19" s="80"/>
      <c r="F19" s="80"/>
      <c r="G19" s="80"/>
      <c r="H19" s="80"/>
      <c r="I19" s="80"/>
      <c r="J19" s="80"/>
      <c r="K19" s="80"/>
      <c r="L19" s="75"/>
    </row>
    <row r="20" spans="1:12" x14ac:dyDescent="0.3">
      <c r="A20" t="s">
        <v>78</v>
      </c>
      <c r="B20" t="s">
        <v>99</v>
      </c>
      <c r="C20" s="80"/>
      <c r="D20" s="80"/>
      <c r="E20" s="80"/>
      <c r="F20" s="80"/>
      <c r="G20" s="80"/>
      <c r="H20" s="80"/>
      <c r="I20" s="80"/>
      <c r="J20" s="80"/>
      <c r="K20" s="80"/>
      <c r="L20" s="75"/>
    </row>
    <row r="21" spans="1:12" x14ac:dyDescent="0.3">
      <c r="A21" t="s">
        <v>79</v>
      </c>
      <c r="B21" t="s">
        <v>100</v>
      </c>
      <c r="C21" s="80"/>
      <c r="D21" s="80"/>
      <c r="E21" s="80"/>
      <c r="F21" s="80"/>
      <c r="G21" s="80"/>
      <c r="H21" s="80"/>
      <c r="I21" s="80"/>
      <c r="J21" s="80"/>
      <c r="K21" s="80"/>
      <c r="L21" s="75"/>
    </row>
    <row r="22" spans="1:12" x14ac:dyDescent="0.3">
      <c r="A22" t="s">
        <v>80</v>
      </c>
      <c r="B22" t="s">
        <v>101</v>
      </c>
      <c r="C22" s="80"/>
      <c r="D22" s="80"/>
      <c r="E22" s="80"/>
      <c r="F22" s="80"/>
      <c r="G22" s="80"/>
      <c r="H22" s="80"/>
      <c r="I22" s="80"/>
      <c r="J22" s="80"/>
      <c r="K22" s="80"/>
      <c r="L22" s="75"/>
    </row>
    <row r="23" spans="1:12" x14ac:dyDescent="0.3">
      <c r="A23" t="s">
        <v>81</v>
      </c>
      <c r="B23" t="s">
        <v>102</v>
      </c>
      <c r="C23" s="80"/>
      <c r="D23" s="80"/>
      <c r="E23" s="80"/>
      <c r="F23" s="80"/>
      <c r="G23" s="80"/>
      <c r="H23" s="80"/>
      <c r="I23" s="80"/>
      <c r="J23" s="80"/>
      <c r="K23" s="80"/>
      <c r="L23" s="75"/>
    </row>
    <row r="24" spans="1:12" x14ac:dyDescent="0.3">
      <c r="A24" t="s">
        <v>82</v>
      </c>
      <c r="B24" t="s">
        <v>103</v>
      </c>
      <c r="C24" s="80"/>
      <c r="D24" s="80"/>
      <c r="E24" s="80"/>
      <c r="F24" s="80"/>
      <c r="G24" s="80"/>
      <c r="H24" s="80"/>
      <c r="I24" s="80"/>
      <c r="J24" s="80"/>
      <c r="K24" s="80"/>
      <c r="L24" s="75"/>
    </row>
    <row r="25" spans="1:12" x14ac:dyDescent="0.3">
      <c r="A25" t="s">
        <v>83</v>
      </c>
      <c r="B25" t="s">
        <v>104</v>
      </c>
      <c r="C25" s="80"/>
      <c r="D25" s="80"/>
      <c r="E25" s="80"/>
      <c r="F25" s="80"/>
      <c r="G25" s="80"/>
      <c r="H25" s="80"/>
      <c r="I25" s="80"/>
      <c r="J25" s="80"/>
      <c r="K25" s="80"/>
      <c r="L25" s="75"/>
    </row>
    <row r="26" spans="1:12" x14ac:dyDescent="0.3">
      <c r="A26" t="s">
        <v>84</v>
      </c>
      <c r="B26" t="s">
        <v>105</v>
      </c>
      <c r="H26" s="2"/>
      <c r="I26" s="2"/>
      <c r="J26" s="67"/>
      <c r="K26" s="67"/>
      <c r="L26" s="74"/>
    </row>
    <row r="27" spans="1:12" x14ac:dyDescent="0.3">
      <c r="A27" t="s">
        <v>85</v>
      </c>
      <c r="B27" t="s">
        <v>106</v>
      </c>
      <c r="H27" s="2"/>
      <c r="I27" s="2"/>
      <c r="J27" s="67"/>
      <c r="K27" s="67"/>
      <c r="L27" s="74"/>
    </row>
    <row r="28" spans="1:12" x14ac:dyDescent="0.3">
      <c r="A28" t="s">
        <v>86</v>
      </c>
      <c r="B28" t="s">
        <v>107</v>
      </c>
      <c r="H28" s="2"/>
      <c r="I28" s="2"/>
      <c r="J28" s="67"/>
      <c r="K28" s="67"/>
      <c r="L28" s="74"/>
    </row>
    <row r="29" spans="1:12" x14ac:dyDescent="0.3">
      <c r="A29" t="s">
        <v>87</v>
      </c>
      <c r="B29" t="s">
        <v>108</v>
      </c>
      <c r="H29" s="2"/>
      <c r="I29" s="2"/>
      <c r="J29" s="67"/>
      <c r="K29" s="67"/>
      <c r="L29" s="74"/>
    </row>
    <row r="30" spans="1:12" x14ac:dyDescent="0.3">
      <c r="A30" t="s">
        <v>88</v>
      </c>
      <c r="B30" t="s">
        <v>109</v>
      </c>
      <c r="H30" s="2"/>
      <c r="I30" s="2"/>
      <c r="J30" s="67"/>
      <c r="K30" s="67"/>
      <c r="L30" s="74"/>
    </row>
    <row r="31" spans="1:12" x14ac:dyDescent="0.3">
      <c r="A31" t="s">
        <v>89</v>
      </c>
      <c r="B31" t="s">
        <v>110</v>
      </c>
      <c r="H31" s="2"/>
      <c r="I31" s="2"/>
      <c r="J31" s="67"/>
      <c r="K31" s="67"/>
      <c r="L31" s="74"/>
    </row>
    <row r="32" spans="1:12" x14ac:dyDescent="0.3">
      <c r="A32" t="s">
        <v>115</v>
      </c>
      <c r="B32" t="s">
        <v>116</v>
      </c>
      <c r="H32" s="2"/>
      <c r="I32" s="2"/>
      <c r="J32" s="67"/>
      <c r="K32" s="67"/>
      <c r="L32" s="74"/>
    </row>
    <row r="33" spans="1:12" x14ac:dyDescent="0.3">
      <c r="A33" t="s">
        <v>117</v>
      </c>
      <c r="B33" t="s">
        <v>118</v>
      </c>
      <c r="H33" s="2"/>
      <c r="I33" s="2"/>
      <c r="J33" s="67"/>
      <c r="K33" s="67"/>
      <c r="L33" s="74"/>
    </row>
    <row r="34" spans="1:12" x14ac:dyDescent="0.3">
      <c r="A34" t="s">
        <v>119</v>
      </c>
      <c r="B34" t="s">
        <v>120</v>
      </c>
      <c r="C34" s="40"/>
      <c r="D34" s="40"/>
      <c r="E34" s="40"/>
      <c r="F34" s="40"/>
      <c r="G34" s="5"/>
      <c r="H34" s="5"/>
      <c r="I34" s="5"/>
      <c r="J34" s="69"/>
      <c r="K34" s="69"/>
      <c r="L34" s="73"/>
    </row>
    <row r="35" spans="1:12" x14ac:dyDescent="0.3">
      <c r="A35" t="s">
        <v>121</v>
      </c>
      <c r="B35" t="s">
        <v>122</v>
      </c>
      <c r="C35" s="40"/>
      <c r="D35" s="40"/>
      <c r="E35" s="40"/>
      <c r="F35" s="40"/>
      <c r="G35" s="31"/>
      <c r="H35" s="31"/>
      <c r="I35" s="31"/>
      <c r="J35" s="70"/>
      <c r="K35" s="70"/>
      <c r="L35" s="70"/>
    </row>
    <row r="36" spans="1:12" x14ac:dyDescent="0.3">
      <c r="A36" t="s">
        <v>123</v>
      </c>
      <c r="B36" t="s">
        <v>124</v>
      </c>
      <c r="C36" s="40"/>
      <c r="D36" s="40"/>
      <c r="E36" s="40"/>
      <c r="F36" s="40"/>
      <c r="H36" s="30"/>
      <c r="I36" s="30"/>
      <c r="J36" s="71"/>
      <c r="K36" s="71"/>
      <c r="L36" s="71"/>
    </row>
    <row r="37" spans="1:12" x14ac:dyDescent="0.3">
      <c r="A37" t="s">
        <v>125</v>
      </c>
      <c r="B37" t="s">
        <v>126</v>
      </c>
    </row>
    <row r="38" spans="1:12" x14ac:dyDescent="0.3">
      <c r="A38" t="s">
        <v>127</v>
      </c>
      <c r="B38" t="s">
        <v>128</v>
      </c>
    </row>
    <row r="39" spans="1:12" x14ac:dyDescent="0.3">
      <c r="A39" t="s">
        <v>129</v>
      </c>
      <c r="B39" t="s">
        <v>130</v>
      </c>
    </row>
    <row r="40" spans="1:12" x14ac:dyDescent="0.3">
      <c r="A40" t="s">
        <v>131</v>
      </c>
      <c r="B40" t="s">
        <v>132</v>
      </c>
    </row>
    <row r="41" spans="1:12" x14ac:dyDescent="0.3">
      <c r="A41" t="s">
        <v>133</v>
      </c>
      <c r="B41" t="s">
        <v>134</v>
      </c>
    </row>
    <row r="42" spans="1:12" x14ac:dyDescent="0.3">
      <c r="A42" t="s">
        <v>135</v>
      </c>
      <c r="B42" t="s">
        <v>136</v>
      </c>
    </row>
    <row r="43" spans="1:12" x14ac:dyDescent="0.3">
      <c r="A43" t="s">
        <v>137</v>
      </c>
      <c r="B43" t="s">
        <v>138</v>
      </c>
    </row>
    <row r="44" spans="1:12" x14ac:dyDescent="0.3">
      <c r="A44" t="s">
        <v>139</v>
      </c>
      <c r="B44" t="s">
        <v>140</v>
      </c>
    </row>
    <row r="45" spans="1:12" x14ac:dyDescent="0.3">
      <c r="A45" t="s">
        <v>141</v>
      </c>
      <c r="B45" t="s">
        <v>142</v>
      </c>
    </row>
    <row r="46" spans="1:12" x14ac:dyDescent="0.3">
      <c r="A46" t="s">
        <v>143</v>
      </c>
      <c r="B46" t="s">
        <v>144</v>
      </c>
    </row>
    <row r="47" spans="1:12" x14ac:dyDescent="0.3">
      <c r="A47" t="s">
        <v>145</v>
      </c>
      <c r="B47" t="s">
        <v>146</v>
      </c>
    </row>
    <row r="48" spans="1:12" x14ac:dyDescent="0.3">
      <c r="A48" t="s">
        <v>147</v>
      </c>
      <c r="B48" t="s">
        <v>148</v>
      </c>
    </row>
    <row r="49" spans="1:2" x14ac:dyDescent="0.3">
      <c r="A49" t="s">
        <v>149</v>
      </c>
      <c r="B49" t="s">
        <v>150</v>
      </c>
    </row>
    <row r="50" spans="1:2" x14ac:dyDescent="0.3">
      <c r="A50" t="s">
        <v>151</v>
      </c>
      <c r="B50" t="s">
        <v>152</v>
      </c>
    </row>
    <row r="51" spans="1:2" x14ac:dyDescent="0.3">
      <c r="A51" t="s">
        <v>153</v>
      </c>
      <c r="B51" t="s">
        <v>154</v>
      </c>
    </row>
    <row r="52" spans="1:2" x14ac:dyDescent="0.3">
      <c r="A52" t="s">
        <v>155</v>
      </c>
      <c r="B52" t="s">
        <v>156</v>
      </c>
    </row>
    <row r="53" spans="1:2" x14ac:dyDescent="0.3">
      <c r="A53" t="s">
        <v>157</v>
      </c>
      <c r="B53" t="s">
        <v>158</v>
      </c>
    </row>
    <row r="54" spans="1:2" x14ac:dyDescent="0.3">
      <c r="A54" t="s">
        <v>159</v>
      </c>
      <c r="B54" t="s">
        <v>160</v>
      </c>
    </row>
    <row r="55" spans="1:2" x14ac:dyDescent="0.3">
      <c r="A55" t="s">
        <v>161</v>
      </c>
      <c r="B55" t="s">
        <v>162</v>
      </c>
    </row>
  </sheetData>
  <mergeCells count="6">
    <mergeCell ref="A8:D8"/>
    <mergeCell ref="A5:D5"/>
    <mergeCell ref="A6:D6"/>
    <mergeCell ref="A7:D7"/>
    <mergeCell ref="A3:D3"/>
    <mergeCell ref="A4:D4"/>
  </mergeCells>
  <phoneticPr fontId="11" type="noConversion"/>
  <pageMargins left="0.7" right="0.7" top="1.542" bottom="0.75" header="0.3" footer="0.3"/>
  <pageSetup paperSize="9" scale="58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A508E1-F889-4FB4-81BC-717A64C59A25}">
  <ds:schemaRefs>
    <ds:schemaRef ds:uri="http://purl.org/dc/terms/"/>
    <ds:schemaRef ds:uri="f62d4ef4-b04a-4b31-a502-7b4d1ae74549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3e1fb217-3513-4a84-b39a-87d8fab7c42d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— Region 2</vt:lpstr>
      <vt:lpstr>Service Notes</vt:lpstr>
      <vt:lpstr>Attendance Register</vt:lpstr>
      <vt:lpstr>EPWP Employees</vt:lpstr>
      <vt:lpstr>'Attendance Register'!Print_Area</vt:lpstr>
      <vt:lpstr>'EPWP Employees'!Print_Area</vt:lpstr>
      <vt:lpstr>'Invoice — Region 2'!Print_Area</vt:lpstr>
      <vt:lpstr>'Service Notes'!Print_Area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Operations</cp:lastModifiedBy>
  <cp:revision/>
  <cp:lastPrinted>2026-03-16T12:19:25Z</cp:lastPrinted>
  <dcterms:created xsi:type="dcterms:W3CDTF">2015-06-05T18:17:20Z</dcterms:created>
  <dcterms:modified xsi:type="dcterms:W3CDTF">2026-03-17T09:20:18Z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