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1 Region 2/"/>
    </mc:Choice>
  </mc:AlternateContent>
  <xr:revisionPtr revIDLastSave="4035" documentId="8_{65C3188A-7AAC-46B3-8E26-6C3ADEBF530F}" xr6:coauthVersionLast="47" xr6:coauthVersionMax="47" xr10:uidLastSave="{C672EB7D-F921-41A0-A889-6E0DAF1B89A2}"/>
  <bookViews>
    <workbookView xWindow="1152" yWindow="1152" windowWidth="21600" windowHeight="11232" tabRatio="870" activeTab="2" xr2:uid="{00000000-000D-0000-FFFF-FFFF00000000}"/>
  </bookViews>
  <sheets>
    <sheet name="Invoice - Region 2" sheetId="14" r:id="rId1"/>
    <sheet name="Service Notes" sheetId="23" r:id="rId2"/>
    <sheet name="Clearning Schedule" sheetId="27" r:id="rId3"/>
    <sheet name="EPWP Employees" sheetId="26" r:id="rId4"/>
  </sheets>
  <definedNames>
    <definedName name="_xlnm.Print_Area" localSheetId="2">'Clearning Schedule'!$A$1:$D$26</definedName>
    <definedName name="_xlnm.Print_Area" localSheetId="3">'EPWP Employees'!$A$1:$E$71</definedName>
    <definedName name="_xlnm.Print_Area" localSheetId="0">'Invoice - Region 2'!$A$1:$H$52</definedName>
    <definedName name="_xlnm.Print_Area" localSheetId="1">'Service Notes'!$A$1:$N$27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3" l="1"/>
  <c r="N9" i="23"/>
  <c r="F21" i="14" s="1"/>
  <c r="G21" i="14" s="1"/>
  <c r="N10" i="23"/>
  <c r="N11" i="23"/>
  <c r="F23" i="14" s="1"/>
  <c r="G23" i="14" s="1"/>
  <c r="N12" i="23"/>
  <c r="N13" i="23"/>
  <c r="F25" i="14" s="1"/>
  <c r="G25" i="14" s="1"/>
  <c r="N14" i="23"/>
  <c r="F26" i="14" s="1"/>
  <c r="G26" i="14" s="1"/>
  <c r="N15" i="23"/>
  <c r="F27" i="14" s="1"/>
  <c r="G27" i="14" s="1"/>
  <c r="N16" i="23"/>
  <c r="F28" i="14" s="1"/>
  <c r="G28" i="14" s="1"/>
  <c r="N17" i="23"/>
  <c r="F29" i="14" s="1"/>
  <c r="G29" i="14" s="1"/>
  <c r="N18" i="23"/>
  <c r="N19" i="23"/>
  <c r="F31" i="14" s="1"/>
  <c r="N20" i="23"/>
  <c r="F32" i="14" s="1"/>
  <c r="G32" i="14" s="1"/>
  <c r="F20" i="14"/>
  <c r="F30" i="14"/>
  <c r="G30" i="14" s="1"/>
  <c r="F24" i="14"/>
  <c r="G24" i="14" s="1"/>
  <c r="F22" i="14"/>
  <c r="H4" i="14"/>
  <c r="A26" i="23" s="1"/>
  <c r="D20" i="14"/>
  <c r="E20" i="14" s="1"/>
  <c r="C9" i="23"/>
  <c r="C10" i="23"/>
  <c r="C11" i="23"/>
  <c r="C12" i="23"/>
  <c r="C13" i="23"/>
  <c r="C14" i="23"/>
  <c r="C15" i="23"/>
  <c r="C16" i="23"/>
  <c r="C17" i="23"/>
  <c r="C18" i="23"/>
  <c r="C19" i="23"/>
  <c r="C8" i="23"/>
  <c r="A14" i="23"/>
  <c r="C20" i="23"/>
  <c r="A19" i="23"/>
  <c r="A20" i="23"/>
  <c r="A9" i="23"/>
  <c r="A10" i="23"/>
  <c r="A11" i="23"/>
  <c r="A12" i="23"/>
  <c r="A13" i="23"/>
  <c r="A15" i="23"/>
  <c r="A16" i="23"/>
  <c r="A17" i="23"/>
  <c r="A18" i="23"/>
  <c r="H33" i="14"/>
  <c r="A8" i="23"/>
  <c r="C36" i="14"/>
  <c r="G34" i="14"/>
  <c r="E34" i="14"/>
  <c r="D34" i="14"/>
  <c r="G33" i="14"/>
  <c r="E33" i="14"/>
  <c r="D21" i="14" l="1"/>
  <c r="A24" i="27"/>
  <c r="A70" i="26"/>
  <c r="G20" i="14"/>
  <c r="G31" i="14"/>
  <c r="G22" i="14"/>
  <c r="A48" i="14"/>
  <c r="E21" i="14" l="1"/>
  <c r="D22" i="14"/>
  <c r="D23" i="14" s="1"/>
  <c r="D24" i="14" s="1"/>
  <c r="E23" i="14" l="1"/>
  <c r="E24" i="14"/>
  <c r="D25" i="14"/>
  <c r="E22" i="14"/>
  <c r="H20" i="14"/>
  <c r="H21" i="14"/>
  <c r="D26" i="14" l="1"/>
  <c r="E25" i="14"/>
  <c r="H22" i="14"/>
  <c r="D27" i="14" l="1"/>
  <c r="E26" i="14"/>
  <c r="H23" i="14"/>
  <c r="D28" i="14" l="1"/>
  <c r="E27" i="14"/>
  <c r="H24" i="14"/>
  <c r="D29" i="14" l="1"/>
  <c r="E28" i="14"/>
  <c r="H25" i="14"/>
  <c r="D30" i="14" l="1"/>
  <c r="E29" i="14"/>
  <c r="H26" i="14"/>
  <c r="D31" i="14" l="1"/>
  <c r="E30" i="14"/>
  <c r="H27" i="14"/>
  <c r="E31" i="14" l="1"/>
  <c r="D32" i="14"/>
  <c r="H28" i="14"/>
  <c r="E32" i="14" l="1"/>
  <c r="E36" i="14" s="1"/>
  <c r="H29" i="14"/>
  <c r="H30" i="14" l="1"/>
  <c r="H32" i="14" l="1"/>
  <c r="H31" i="14"/>
  <c r="G36" i="14" l="1"/>
  <c r="H36" i="14" s="1"/>
  <c r="H37" i="14" s="1"/>
  <c r="H38" i="14" s="1"/>
  <c r="I36" i="14"/>
</calcChain>
</file>

<file path=xl/sharedStrings.xml><?xml version="1.0" encoding="utf-8"?>
<sst xmlns="http://schemas.openxmlformats.org/spreadsheetml/2006/main" count="317" uniqueCount="155">
  <si>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</si>
  <si>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</si>
  <si>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</si>
  <si>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</si>
  <si>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</si>
  <si>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</si>
  <si>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</si>
  <si>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</si>
  <si>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Region 2</t>
  </si>
  <si>
    <t>#</t>
  </si>
  <si>
    <t>Qty
(Units)</t>
  </si>
  <si>
    <t>Days in
Period</t>
  </si>
  <si>
    <t>No of
Services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</si>
  <si>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</si>
  <si>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</si>
  <si>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</si>
  <si>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</si>
  <si>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</si>
  <si>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</si>
  <si>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</si>
  <si>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</si>
  <si>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</si>
  <si>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</si>
  <si>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</si>
  <si>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</si>
  <si>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</si>
  <si>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</si>
  <si>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</si>
  <si>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</si>
  <si>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</si>
  <si>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</si>
  <si>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</si>
  <si>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</si>
  <si>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</si>
  <si>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</si>
  <si>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</si>
  <si>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</si>
  <si>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</si>
  <si>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</si>
  <si>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</si>
  <si>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LOCATION</t>
  </si>
  <si>
    <t>FULLNAME</t>
  </si>
  <si>
    <t>ID NUMBER</t>
  </si>
  <si>
    <t>POSITION</t>
  </si>
  <si>
    <t>EPWP Employee List</t>
  </si>
  <si>
    <t>Tax Invoice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</si>
  <si>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</si>
  <si>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</si>
  <si>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</si>
  <si>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</si>
  <si>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</si>
  <si>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</si>
  <si>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</si>
  <si>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</si>
  <si>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</si>
  <si>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</si>
  <si>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</si>
  <si>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</si>
  <si>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</si>
  <si>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</si>
  <si>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</si>
  <si>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</si>
  <si>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</si>
  <si>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</si>
  <si>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</si>
  <si>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</si>
  <si>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</si>
  <si>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</si>
  <si>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</si>
  <si>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</si>
  <si>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</si>
  <si>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</si>
  <si>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</si>
  <si>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</si>
  <si>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</si>
  <si>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</si>
  <si>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</si>
  <si>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</si>
  <si>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Morokolong/ Marokolong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</si>
  <si>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</si>
  <si>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</si>
  <si>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</si>
  <si>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</si>
  <si>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</si>
  <si>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</si>
  <si>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</si>
  <si>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</si>
  <si>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</si>
  <si>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</si>
  <si>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</si>
  <si>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</si>
  <si>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</si>
  <si>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</si>
  <si>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</si>
  <si>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</si>
  <si>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</si>
  <si>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</si>
  <si>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</si>
  <si>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</si>
  <si>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</si>
  <si>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Hammaskraal Ext 5</t>
  </si>
  <si>
    <t>Hammaskraal Ext 6</t>
  </si>
  <si>
    <t>Mabatho Ngobeni</t>
  </si>
  <si>
    <t>Salaminah Matlou</t>
  </si>
  <si>
    <t>Martha Mashele</t>
  </si>
  <si>
    <t>Agnes Phala</t>
  </si>
  <si>
    <t>Tebogo Mashele</t>
  </si>
  <si>
    <t>'7311161001080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</si>
  <si>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</si>
  <si>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</si>
  <si>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</si>
  <si>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</si>
  <si>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</si>
  <si>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</si>
  <si>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</si>
  <si>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Coordinator</t>
  </si>
  <si>
    <t>Cleaner</t>
  </si>
  <si>
    <t>Rental Amount
R11.50</t>
  </si>
  <si>
    <t>Service Amount
R96.50</t>
  </si>
  <si>
    <t>Themba View Ext 1</t>
  </si>
  <si>
    <t>MONDAY</t>
  </si>
  <si>
    <t>THURSDAY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</si>
  <si>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</si>
  <si>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</si>
  <si>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</si>
  <si>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</si>
  <si>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</si>
  <si>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</si>
  <si>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</si>
  <si>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</si>
  <si>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</si>
  <si>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</si>
  <si>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</si>
  <si>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</si>
  <si>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</si>
  <si>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Service Notes - Pump &amp; Clean</t>
  </si>
  <si>
    <t>No of Toilets</t>
  </si>
  <si>
    <t>Informal Settlement Area</t>
  </si>
  <si>
    <t>Monday &amp; Thursday</t>
  </si>
  <si>
    <t>Weekly Cleaning Dates</t>
  </si>
  <si>
    <t>Service Provider Official:</t>
  </si>
  <si>
    <t>Signature</t>
  </si>
  <si>
    <t>Greenfield Ext 14 (Lefika Camp)</t>
  </si>
  <si>
    <t>Weekly Cleaning Schedule</t>
  </si>
  <si>
    <t>Greenfields Ext 10 (Lefika camp)</t>
  </si>
  <si>
    <t>Qty (Units)</t>
  </si>
  <si>
    <t>VAT  Number: 4000142267</t>
  </si>
  <si>
    <t>JULY CHABANGU</t>
  </si>
  <si>
    <t>REGION 2</t>
  </si>
  <si>
    <t>DRIVER</t>
  </si>
  <si>
    <t>0107015422085</t>
  </si>
  <si>
    <t>SIZWE MAHLANGU</t>
  </si>
  <si>
    <t>26 May 2026 To 30 June 2026</t>
  </si>
  <si>
    <t>Service Notes (From 26 May 2026 To 30 June 2026)</t>
  </si>
  <si>
    <t>STP-INV-26-0389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</si>
</sst>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rgb="FFFFFFFF"/>
      <name val="Arial"/>
      <family val="2"/>
    </font>
    <font>
      <b/>
      <sz val="9"/>
      <color theme="0" tint="-0.499984740745262"/>
      <name val="Arial"/>
      <family val="2"/>
    </font>
    <font>
      <b/>
      <sz val="15"/>
      <color rgb="FFFFFFFF"/>
      <name val="Aptos"/>
      <family val="2"/>
    </font>
    <font>
      <sz val="9"/>
      <color theme="0" tint="-0.49998474074526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 tint="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44" fontId="17" fillId="0" borderId="8" xfId="1" applyFont="1" applyFill="1" applyBorder="1" applyAlignment="1">
      <alignment horizontal="right" vertical="center"/>
    </xf>
    <xf numFmtId="44" fontId="18" fillId="0" borderId="8" xfId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4" fontId="17" fillId="0" borderId="8" xfId="0" applyNumberFormat="1" applyFont="1" applyBorder="1" applyAlignment="1">
      <alignment horizontal="right" vertical="center"/>
    </xf>
    <xf numFmtId="1" fontId="15" fillId="0" borderId="8" xfId="1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horizontal="center" vertical="center"/>
    </xf>
    <xf numFmtId="4" fontId="17" fillId="3" borderId="8" xfId="0" applyNumberFormat="1" applyFont="1" applyFill="1" applyBorder="1" applyAlignment="1">
      <alignment horizontal="right" vertical="center"/>
    </xf>
    <xf numFmtId="4" fontId="18" fillId="3" borderId="8" xfId="0" applyNumberFormat="1" applyFont="1" applyFill="1" applyBorder="1" applyAlignment="1">
      <alignment horizontal="right" vertical="center"/>
    </xf>
    <xf numFmtId="1" fontId="0" fillId="0" borderId="1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66" fontId="19" fillId="0" borderId="0" xfId="0" applyNumberFormat="1" applyFont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1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3" fillId="0" borderId="0" xfId="0" applyFont="1"/>
    <xf numFmtId="0" fontId="43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0" fillId="0" borderId="0" xfId="0" applyNumberFormat="1"/>
    <xf numFmtId="167" fontId="0" fillId="0" borderId="12" xfId="0" applyNumberForma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42" fillId="0" borderId="28" xfId="0" applyFont="1" applyBorder="1"/>
    <xf numFmtId="0" fontId="42" fillId="0" borderId="28" xfId="0" applyFont="1" applyBorder="1" applyAlignment="1">
      <alignment horizontal="left"/>
    </xf>
    <xf numFmtId="0" fontId="43" fillId="0" borderId="28" xfId="0" applyFont="1" applyBorder="1"/>
    <xf numFmtId="0" fontId="43" fillId="0" borderId="28" xfId="0" applyFont="1" applyBorder="1" applyAlignment="1">
      <alignment horizontal="left" vertical="center"/>
    </xf>
    <xf numFmtId="0" fontId="43" fillId="0" borderId="28" xfId="0" applyFont="1" applyBorder="1" applyAlignment="1">
      <alignment horizontal="left"/>
    </xf>
    <xf numFmtId="0" fontId="44" fillId="0" borderId="28" xfId="0" applyFont="1" applyBorder="1" applyAlignment="1">
      <alignment horizontal="left" vertical="center"/>
    </xf>
    <xf numFmtId="1" fontId="43" fillId="0" borderId="28" xfId="0" applyNumberFormat="1" applyFont="1" applyBorder="1" applyAlignment="1">
      <alignment horizontal="left"/>
    </xf>
    <xf numFmtId="1" fontId="43" fillId="0" borderId="28" xfId="0" quotePrefix="1" applyNumberFormat="1" applyFont="1" applyBorder="1" applyAlignment="1">
      <alignment horizontal="left"/>
    </xf>
    <xf numFmtId="1" fontId="43" fillId="0" borderId="28" xfId="0" applyNumberFormat="1" applyFont="1" applyBorder="1" applyAlignment="1">
      <alignment horizontal="left"/>
    </xf>
    <xf numFmtId="0" fontId="40" fillId="5" borderId="0" xfId="0" applyFont="1" applyFill="1" applyAlignment="1">
      <alignment vertical="center"/>
    </xf>
    <xf numFmtId="0" fontId="40" fillId="5" borderId="0" xfId="0" applyFont="1" applyFill="1" applyAlignment="1">
      <alignment horizontal="right" vertical="center"/>
    </xf>
    <xf numFmtId="166" fontId="19" fillId="0" borderId="1" xfId="0" applyNumberFormat="1" applyFont="1" applyBorder="1"/>
    <xf numFmtId="0" fontId="19" fillId="0" borderId="0" xfId="0" applyFont="1" applyAlignment="1">
      <alignment vertical="top"/>
    </xf>
    <xf numFmtId="166" fontId="19" fillId="0" borderId="1" xfId="0" applyNumberFormat="1" applyFont="1" applyBorder="1" applyAlignment="1">
      <alignment horizontal="left"/>
    </xf>
    <xf numFmtId="0" fontId="19" fillId="0" borderId="1" xfId="0" applyFont="1" applyBorder="1"/>
    <xf numFmtId="0" fontId="19" fillId="0" borderId="0" xfId="0" applyFont="1"/>
    <xf numFmtId="0" fontId="42" fillId="0" borderId="28" xfId="0" applyFont="1" applyBorder="1"/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1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38" fillId="5" borderId="0" xfId="0" applyFont="1" applyFill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15" xfId="0" applyBorder="1"/>
    <xf numFmtId="0" fontId="0" fillId="0" borderId="8" xfId="0" applyBorder="1"/>
    <xf numFmtId="166" fontId="35" fillId="0" borderId="0" xfId="0" applyNumberFormat="1" applyFont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39" fillId="0" borderId="22" xfId="0" applyFont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137160</xdr:rowOff>
    </xdr:from>
    <xdr:to>
      <xdr:col>1</xdr:col>
      <xdr:colOff>1711337</xdr:colOff>
      <xdr:row>45</xdr:row>
      <xdr:rowOff>27995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20</xdr:row>
      <xdr:rowOff>106680</xdr:rowOff>
    </xdr:from>
    <xdr:to>
      <xdr:col>1</xdr:col>
      <xdr:colOff>914400</xdr:colOff>
      <xdr:row>23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167641</xdr:rowOff>
    </xdr:from>
    <xdr:to>
      <xdr:col>0</xdr:col>
      <xdr:colOff>1760220</xdr:colOff>
      <xdr:row>21</xdr:row>
      <xdr:rowOff>18645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E9030-F803-4DC7-7152-2D2A7A6C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1421"/>
          <a:ext cx="1760220" cy="582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67</xdr:row>
      <xdr:rowOff>91441</xdr:rowOff>
    </xdr:from>
    <xdr:to>
      <xdr:col>1</xdr:col>
      <xdr:colOff>175260</xdr:colOff>
      <xdr:row>69</xdr:row>
      <xdr:rowOff>104877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55793-C13F-75EB-C200-1778200C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3205461"/>
          <a:ext cx="1813560" cy="600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49"/>
  <sheetViews>
    <sheetView showGridLines="0" view="pageBreakPreview" zoomScaleNormal="100" zoomScaleSheetLayoutView="100" workbookViewId="0">
      <selection activeCell="J19" sqref="J19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6640625" customWidth="1"/>
    <col min="5" max="5" width="14.33203125" customWidth="1"/>
    <col min="6" max="6" width="6.6640625" bestFit="1" customWidth="1"/>
    <col min="7" max="7" width="17.33203125" bestFit="1" customWidth="1"/>
    <col min="8" max="8" width="24.6640625" bestFit="1" customWidth="1"/>
    <col min="9" max="9" width="12.88671875" bestFit="1" customWidth="1"/>
    <col min="10" max="12" width="10.6640625" customWidth="1"/>
  </cols>
  <sheetData>
    <row r="1" spans="1:8" ht="22.8" x14ac:dyDescent="0.3">
      <c r="A1" s="121" t="s">
        <v>35</v>
      </c>
      <c r="B1" s="122"/>
      <c r="C1" s="122"/>
      <c r="D1" s="122"/>
      <c r="E1" s="122"/>
      <c r="F1" s="122"/>
      <c r="G1" s="119" t="s">
        <v>45</v>
      </c>
      <c r="H1" s="119"/>
    </row>
    <row r="2" spans="1:8" ht="1.95" customHeight="1" x14ac:dyDescent="0.3">
      <c r="A2" s="10"/>
      <c r="B2" s="10"/>
      <c r="C2" s="10"/>
      <c r="D2" s="10"/>
      <c r="E2" s="10"/>
      <c r="F2" s="10"/>
      <c r="G2" s="10"/>
      <c r="H2" s="10"/>
    </row>
    <row r="3" spans="1:8" x14ac:dyDescent="0.3">
      <c r="A3" s="105" t="s">
        <v>2</v>
      </c>
      <c r="B3" s="105"/>
      <c r="C3" s="105"/>
      <c r="D3" s="105"/>
      <c r="E3" s="108" t="s">
        <v>5</v>
      </c>
      <c r="F3" s="108"/>
      <c r="G3" s="108"/>
      <c r="H3" s="19" t="s">
        <v>154</v>
      </c>
    </row>
    <row r="4" spans="1:8" x14ac:dyDescent="0.3">
      <c r="A4" s="105" t="s">
        <v>38</v>
      </c>
      <c r="B4" s="105"/>
      <c r="C4" s="105"/>
      <c r="D4" s="105"/>
      <c r="E4" s="108" t="s">
        <v>3</v>
      </c>
      <c r="F4" s="108"/>
      <c r="G4" s="108"/>
      <c r="H4" s="21" t="str">
        <f ca="1">TEXT(DATE(YEAR(TODAY()),MONTH(TODAY()),30),"dd mmmm yyyy")</f>
        <v>30 July 2026</v>
      </c>
    </row>
    <row r="5" spans="1:8" x14ac:dyDescent="0.3">
      <c r="A5" s="105" t="s">
        <v>133</v>
      </c>
      <c r="B5" s="105"/>
      <c r="C5" s="105"/>
      <c r="D5" s="105"/>
      <c r="E5" s="108" t="s">
        <v>4</v>
      </c>
      <c r="F5" s="108"/>
      <c r="G5" s="108"/>
      <c r="H5" s="39" t="s">
        <v>152</v>
      </c>
    </row>
    <row r="6" spans="1:8" x14ac:dyDescent="0.3">
      <c r="A6" s="105" t="s">
        <v>34</v>
      </c>
      <c r="B6" s="105"/>
      <c r="C6" s="105"/>
      <c r="D6" s="105"/>
      <c r="E6" s="108" t="s">
        <v>7</v>
      </c>
      <c r="F6" s="108"/>
      <c r="G6" s="108"/>
      <c r="H6" s="19" t="s">
        <v>8</v>
      </c>
    </row>
    <row r="7" spans="1:8" x14ac:dyDescent="0.3">
      <c r="A7" s="105" t="s">
        <v>122</v>
      </c>
      <c r="B7" s="105"/>
      <c r="C7" s="105"/>
      <c r="D7" s="105"/>
      <c r="E7" s="108"/>
      <c r="F7" s="108"/>
      <c r="G7" s="108"/>
      <c r="H7" s="19"/>
    </row>
    <row r="8" spans="1:8" x14ac:dyDescent="0.3">
      <c r="A8" s="5"/>
      <c r="B8" s="8"/>
      <c r="C8" s="2"/>
      <c r="D8" s="2"/>
      <c r="E8" s="120"/>
      <c r="F8" s="120"/>
      <c r="G8" s="120"/>
      <c r="H8" s="20"/>
    </row>
    <row r="9" spans="1:8" x14ac:dyDescent="0.3">
      <c r="A9" s="107" t="s">
        <v>6</v>
      </c>
      <c r="B9" s="107"/>
      <c r="C9" s="107"/>
      <c r="D9" s="107"/>
      <c r="E9" s="108"/>
      <c r="F9" s="108"/>
      <c r="G9" s="108"/>
      <c r="H9" s="20"/>
    </row>
    <row r="10" spans="1:8" x14ac:dyDescent="0.3">
      <c r="A10" s="109" t="s">
        <v>123</v>
      </c>
      <c r="B10" s="109"/>
      <c r="C10" s="109"/>
      <c r="D10" s="109"/>
      <c r="E10" s="108"/>
      <c r="F10" s="108"/>
      <c r="G10" s="108"/>
      <c r="H10" s="19"/>
    </row>
    <row r="11" spans="1:8" x14ac:dyDescent="0.3">
      <c r="A11" s="109" t="s">
        <v>124</v>
      </c>
      <c r="B11" s="109"/>
      <c r="C11" s="109"/>
      <c r="D11" s="109"/>
      <c r="E11" s="108"/>
      <c r="F11" s="108"/>
      <c r="G11" s="108"/>
      <c r="H11" s="19"/>
    </row>
    <row r="12" spans="1:8" x14ac:dyDescent="0.3">
      <c r="A12" s="109" t="s">
        <v>125</v>
      </c>
      <c r="B12" s="109"/>
      <c r="C12" s="109"/>
      <c r="D12" s="109"/>
      <c r="E12" s="108"/>
      <c r="F12" s="108"/>
      <c r="G12" s="108"/>
      <c r="H12" s="32"/>
    </row>
    <row r="13" spans="1:8" x14ac:dyDescent="0.3">
      <c r="A13" s="110" t="s">
        <v>126</v>
      </c>
      <c r="B13" s="109"/>
      <c r="C13" s="109"/>
      <c r="D13" s="109"/>
      <c r="E13" s="108"/>
      <c r="F13" s="108"/>
      <c r="G13" s="108"/>
      <c r="H13" s="32"/>
    </row>
    <row r="14" spans="1:8" x14ac:dyDescent="0.3">
      <c r="A14" s="114"/>
      <c r="B14" s="114"/>
      <c r="C14" s="114"/>
      <c r="D14" s="114"/>
      <c r="E14" s="108"/>
      <c r="F14" s="108"/>
      <c r="G14" s="108"/>
      <c r="H14" s="19"/>
    </row>
    <row r="15" spans="1:8" x14ac:dyDescent="0.3">
      <c r="A15" s="109" t="s">
        <v>146</v>
      </c>
      <c r="B15" s="109"/>
      <c r="C15" s="109"/>
      <c r="D15" s="109"/>
      <c r="E15" s="2"/>
      <c r="F15" s="2"/>
      <c r="G15" s="11"/>
      <c r="H15" s="12"/>
    </row>
    <row r="16" spans="1:8" x14ac:dyDescent="0.3">
      <c r="A16" s="109" t="s">
        <v>127</v>
      </c>
      <c r="B16" s="109"/>
      <c r="C16" s="109"/>
      <c r="D16" s="109"/>
      <c r="E16" s="2"/>
      <c r="F16" s="2"/>
      <c r="G16" s="11"/>
      <c r="H16" s="12"/>
    </row>
    <row r="17" spans="1:10" x14ac:dyDescent="0.3">
      <c r="E17" s="2"/>
      <c r="F17" s="2"/>
      <c r="G17" s="11"/>
      <c r="H17" s="12"/>
    </row>
    <row r="18" spans="1:10" x14ac:dyDescent="0.3">
      <c r="A18" s="123" t="s">
        <v>9</v>
      </c>
      <c r="B18" s="112" t="s">
        <v>28</v>
      </c>
      <c r="C18" s="111" t="s">
        <v>39</v>
      </c>
      <c r="D18" s="111"/>
      <c r="E18" s="111"/>
      <c r="F18" s="111" t="s">
        <v>26</v>
      </c>
      <c r="G18" s="111"/>
      <c r="H18" s="117" t="s">
        <v>27</v>
      </c>
    </row>
    <row r="19" spans="1:10" ht="30.6" x14ac:dyDescent="0.3">
      <c r="A19" s="124"/>
      <c r="B19" s="113" t="s">
        <v>28</v>
      </c>
      <c r="C19" s="44" t="s">
        <v>10</v>
      </c>
      <c r="D19" s="44" t="s">
        <v>11</v>
      </c>
      <c r="E19" s="44" t="s">
        <v>117</v>
      </c>
      <c r="F19" s="44" t="s">
        <v>12</v>
      </c>
      <c r="G19" s="44" t="s">
        <v>118</v>
      </c>
      <c r="H19" s="118"/>
    </row>
    <row r="20" spans="1:10" x14ac:dyDescent="0.3">
      <c r="A20" s="45">
        <v>1</v>
      </c>
      <c r="B20" s="46" t="s">
        <v>119</v>
      </c>
      <c r="C20" s="47">
        <v>8</v>
      </c>
      <c r="D20" s="48">
        <f>J7</f>
        <v>0</v>
      </c>
      <c r="E20" s="49">
        <f>IF(C20="","",C20*D20*11.5)</f>
        <v>0</v>
      </c>
      <c r="F20" s="47">
        <f>'Service Notes'!N8</f>
        <v>10</v>
      </c>
      <c r="G20" s="49">
        <f>IF(C20="","",C20*F20*96.5)</f>
        <v>7720</v>
      </c>
      <c r="H20" s="50">
        <f>IF(C20="","",E20+G20)</f>
        <v>7720</v>
      </c>
      <c r="I20" s="33"/>
    </row>
    <row r="21" spans="1:10" x14ac:dyDescent="0.3">
      <c r="A21" s="45">
        <v>3</v>
      </c>
      <c r="B21" s="46" t="s">
        <v>13</v>
      </c>
      <c r="C21" s="47">
        <v>11</v>
      </c>
      <c r="D21" s="48">
        <f>D20</f>
        <v>0</v>
      </c>
      <c r="E21" s="49">
        <f t="shared" ref="E21:E32" si="0">IF(C21="","",C21*D21*11.5)</f>
        <v>0</v>
      </c>
      <c r="F21" s="47">
        <f>'Service Notes'!N9</f>
        <v>10</v>
      </c>
      <c r="G21" s="49">
        <f t="shared" ref="G21:G32" si="1">IF(C21="","",C21*F21*96.5)</f>
        <v>10615</v>
      </c>
      <c r="H21" s="50">
        <f t="shared" ref="H21:H33" si="2">IF(C21="","",E21+G21)</f>
        <v>10615</v>
      </c>
    </row>
    <row r="22" spans="1:10" x14ac:dyDescent="0.3">
      <c r="A22" s="45">
        <v>4</v>
      </c>
      <c r="B22" s="46" t="s">
        <v>14</v>
      </c>
      <c r="C22" s="47">
        <v>30</v>
      </c>
      <c r="D22" s="48">
        <f t="shared" ref="D22:D32" si="3">D21</f>
        <v>0</v>
      </c>
      <c r="E22" s="49">
        <f t="shared" si="0"/>
        <v>0</v>
      </c>
      <c r="F22" s="47">
        <f>'Service Notes'!N10</f>
        <v>10</v>
      </c>
      <c r="G22" s="49">
        <f t="shared" si="1"/>
        <v>28950</v>
      </c>
      <c r="H22" s="50">
        <f t="shared" si="2"/>
        <v>28950</v>
      </c>
    </row>
    <row r="23" spans="1:10" x14ac:dyDescent="0.3">
      <c r="A23" s="45">
        <v>6</v>
      </c>
      <c r="B23" s="46" t="s">
        <v>15</v>
      </c>
      <c r="C23" s="47">
        <v>160</v>
      </c>
      <c r="D23" s="48">
        <f t="shared" si="3"/>
        <v>0</v>
      </c>
      <c r="E23" s="49">
        <f t="shared" si="0"/>
        <v>0</v>
      </c>
      <c r="F23" s="47">
        <f>'Service Notes'!N11</f>
        <v>10</v>
      </c>
      <c r="G23" s="49">
        <f t="shared" si="1"/>
        <v>154400</v>
      </c>
      <c r="H23" s="50">
        <f t="shared" si="2"/>
        <v>154400</v>
      </c>
      <c r="J23" s="7"/>
    </row>
    <row r="24" spans="1:10" x14ac:dyDescent="0.3">
      <c r="A24" s="45">
        <v>7</v>
      </c>
      <c r="B24" s="46" t="s">
        <v>16</v>
      </c>
      <c r="C24" s="47">
        <v>50</v>
      </c>
      <c r="D24" s="48">
        <f t="shared" si="3"/>
        <v>0</v>
      </c>
      <c r="E24" s="49">
        <f t="shared" si="0"/>
        <v>0</v>
      </c>
      <c r="F24" s="47">
        <f>'Service Notes'!N12</f>
        <v>10</v>
      </c>
      <c r="G24" s="49">
        <f t="shared" si="1"/>
        <v>48250</v>
      </c>
      <c r="H24" s="50">
        <f t="shared" si="2"/>
        <v>48250</v>
      </c>
    </row>
    <row r="25" spans="1:10" x14ac:dyDescent="0.3">
      <c r="A25" s="45">
        <v>8</v>
      </c>
      <c r="B25" s="46" t="s">
        <v>17</v>
      </c>
      <c r="C25" s="47">
        <v>60</v>
      </c>
      <c r="D25" s="48">
        <f t="shared" si="3"/>
        <v>0</v>
      </c>
      <c r="E25" s="49">
        <f t="shared" si="0"/>
        <v>0</v>
      </c>
      <c r="F25" s="47">
        <f>'Service Notes'!N13</f>
        <v>10</v>
      </c>
      <c r="G25" s="49">
        <f t="shared" si="1"/>
        <v>57900</v>
      </c>
      <c r="H25" s="50">
        <f t="shared" si="2"/>
        <v>57900</v>
      </c>
    </row>
    <row r="26" spans="1:10" x14ac:dyDescent="0.3">
      <c r="A26" s="45">
        <v>9</v>
      </c>
      <c r="B26" s="46" t="s">
        <v>18</v>
      </c>
      <c r="C26" s="47">
        <v>10</v>
      </c>
      <c r="D26" s="48">
        <f t="shared" si="3"/>
        <v>0</v>
      </c>
      <c r="E26" s="49">
        <f t="shared" si="0"/>
        <v>0</v>
      </c>
      <c r="F26" s="47">
        <f>'Service Notes'!N14</f>
        <v>10</v>
      </c>
      <c r="G26" s="49">
        <f t="shared" si="1"/>
        <v>9650</v>
      </c>
      <c r="H26" s="50">
        <f t="shared" si="2"/>
        <v>9650</v>
      </c>
    </row>
    <row r="27" spans="1:10" x14ac:dyDescent="0.3">
      <c r="A27" s="45">
        <v>10</v>
      </c>
      <c r="B27" s="46" t="s">
        <v>19</v>
      </c>
      <c r="C27" s="47">
        <v>40</v>
      </c>
      <c r="D27" s="48">
        <f t="shared" si="3"/>
        <v>0</v>
      </c>
      <c r="E27" s="49">
        <f t="shared" si="0"/>
        <v>0</v>
      </c>
      <c r="F27" s="47">
        <f>'Service Notes'!N15</f>
        <v>10</v>
      </c>
      <c r="G27" s="49">
        <f t="shared" si="1"/>
        <v>38600</v>
      </c>
      <c r="H27" s="50">
        <f t="shared" si="2"/>
        <v>38600</v>
      </c>
    </row>
    <row r="28" spans="1:10" x14ac:dyDescent="0.3">
      <c r="A28" s="45">
        <v>11</v>
      </c>
      <c r="B28" s="46" t="s">
        <v>20</v>
      </c>
      <c r="C28" s="47">
        <v>3</v>
      </c>
      <c r="D28" s="48">
        <f t="shared" si="3"/>
        <v>0</v>
      </c>
      <c r="E28" s="49">
        <f t="shared" si="0"/>
        <v>0</v>
      </c>
      <c r="F28" s="47">
        <f>'Service Notes'!N16</f>
        <v>10</v>
      </c>
      <c r="G28" s="49">
        <f t="shared" si="1"/>
        <v>2895</v>
      </c>
      <c r="H28" s="50">
        <f t="shared" si="2"/>
        <v>2895</v>
      </c>
      <c r="I28" s="6"/>
    </row>
    <row r="29" spans="1:10" x14ac:dyDescent="0.3">
      <c r="A29" s="45">
        <v>12</v>
      </c>
      <c r="B29" s="46" t="s">
        <v>21</v>
      </c>
      <c r="C29" s="47">
        <v>70</v>
      </c>
      <c r="D29" s="48">
        <f t="shared" si="3"/>
        <v>0</v>
      </c>
      <c r="E29" s="49">
        <f t="shared" si="0"/>
        <v>0</v>
      </c>
      <c r="F29" s="47">
        <f>'Service Notes'!N17</f>
        <v>10</v>
      </c>
      <c r="G29" s="49">
        <f t="shared" si="1"/>
        <v>67550</v>
      </c>
      <c r="H29" s="50">
        <f t="shared" si="2"/>
        <v>67550</v>
      </c>
    </row>
    <row r="30" spans="1:10" x14ac:dyDescent="0.3">
      <c r="A30" s="45">
        <v>13</v>
      </c>
      <c r="B30" s="46" t="s">
        <v>22</v>
      </c>
      <c r="C30" s="47">
        <v>80</v>
      </c>
      <c r="D30" s="48">
        <f t="shared" si="3"/>
        <v>0</v>
      </c>
      <c r="E30" s="49">
        <f t="shared" si="0"/>
        <v>0</v>
      </c>
      <c r="F30" s="47">
        <f>'Service Notes'!N18</f>
        <v>10</v>
      </c>
      <c r="G30" s="49">
        <f t="shared" si="1"/>
        <v>77200</v>
      </c>
      <c r="H30" s="50">
        <f t="shared" si="2"/>
        <v>77200</v>
      </c>
      <c r="I30" s="6"/>
    </row>
    <row r="31" spans="1:10" x14ac:dyDescent="0.3">
      <c r="A31" s="45">
        <v>14</v>
      </c>
      <c r="B31" s="46" t="s">
        <v>23</v>
      </c>
      <c r="C31" s="47">
        <v>59</v>
      </c>
      <c r="D31" s="48">
        <f t="shared" si="3"/>
        <v>0</v>
      </c>
      <c r="E31" s="49">
        <f t="shared" si="0"/>
        <v>0</v>
      </c>
      <c r="F31" s="47">
        <f>'Service Notes'!N19</f>
        <v>10</v>
      </c>
      <c r="G31" s="49">
        <f t="shared" si="1"/>
        <v>56935</v>
      </c>
      <c r="H31" s="50">
        <f t="shared" si="2"/>
        <v>56935</v>
      </c>
    </row>
    <row r="32" spans="1:10" x14ac:dyDescent="0.3">
      <c r="A32" s="45">
        <v>15</v>
      </c>
      <c r="B32" s="46" t="s">
        <v>142</v>
      </c>
      <c r="C32" s="47">
        <v>15</v>
      </c>
      <c r="D32" s="48">
        <f t="shared" si="3"/>
        <v>0</v>
      </c>
      <c r="E32" s="49">
        <f t="shared" si="0"/>
        <v>0</v>
      </c>
      <c r="F32" s="47">
        <f>'Service Notes'!N20</f>
        <v>10</v>
      </c>
      <c r="G32" s="49">
        <f t="shared" si="1"/>
        <v>14475</v>
      </c>
      <c r="H32" s="50">
        <f t="shared" si="2"/>
        <v>14475</v>
      </c>
    </row>
    <row r="33" spans="1:9" x14ac:dyDescent="0.3">
      <c r="A33" s="45"/>
      <c r="B33" s="51"/>
      <c r="C33" s="47"/>
      <c r="D33" s="48"/>
      <c r="E33" s="52" t="str">
        <f>IF(C33="","",C33*$H$12*$H$13)</f>
        <v/>
      </c>
      <c r="F33" s="53"/>
      <c r="G33" s="52" t="str">
        <f>IF(C33="","",C33*F33*$H$14)</f>
        <v/>
      </c>
      <c r="H33" s="50" t="str">
        <f t="shared" si="2"/>
        <v/>
      </c>
    </row>
    <row r="34" spans="1:9" x14ac:dyDescent="0.3">
      <c r="A34" s="45"/>
      <c r="B34" s="54"/>
      <c r="C34" s="55"/>
      <c r="D34" s="56" t="str">
        <f>IF(C34="","",$H$12)</f>
        <v/>
      </c>
      <c r="E34" s="57" t="str">
        <f>IF(C34="","",C34*$H$12*$H$13)</f>
        <v/>
      </c>
      <c r="F34" s="55"/>
      <c r="G34" s="57" t="str">
        <f>IF(C34="","",C34*F34*$H$14)</f>
        <v/>
      </c>
      <c r="H34" s="58"/>
    </row>
    <row r="35" spans="1:9" x14ac:dyDescent="0.3">
      <c r="A35" s="1"/>
      <c r="B35" s="9"/>
      <c r="C35" s="9"/>
      <c r="D35" s="9"/>
      <c r="E35" s="3"/>
      <c r="F35" s="3"/>
      <c r="G35" s="4"/>
    </row>
    <row r="36" spans="1:9" x14ac:dyDescent="0.3">
      <c r="A36" s="25"/>
      <c r="B36" s="26" t="s">
        <v>36</v>
      </c>
      <c r="C36" s="27">
        <f>SUM(C20:C34)</f>
        <v>596</v>
      </c>
      <c r="D36" s="28"/>
      <c r="E36" s="29">
        <f>SUM(E20:E34)</f>
        <v>0</v>
      </c>
      <c r="F36" s="28"/>
      <c r="G36" s="29">
        <f>SUM(G20:G34)</f>
        <v>575140</v>
      </c>
      <c r="H36" s="30">
        <f>SUM(E36,G36)</f>
        <v>575140</v>
      </c>
      <c r="I36" s="33">
        <f>SUM(H20:H32)</f>
        <v>575140</v>
      </c>
    </row>
    <row r="37" spans="1:9" x14ac:dyDescent="0.3">
      <c r="A37" s="1"/>
      <c r="B37" s="9"/>
      <c r="C37" s="9"/>
      <c r="D37" s="9"/>
      <c r="G37" s="3" t="s">
        <v>25</v>
      </c>
      <c r="H37" s="13">
        <f>H36*15%</f>
        <v>86271</v>
      </c>
    </row>
    <row r="38" spans="1:9" ht="15.6" x14ac:dyDescent="0.3">
      <c r="A38" s="106" t="s">
        <v>24</v>
      </c>
      <c r="B38" s="106"/>
      <c r="C38" s="106"/>
      <c r="D38" s="17"/>
      <c r="E38" s="43"/>
      <c r="F38" s="115" t="s">
        <v>37</v>
      </c>
      <c r="G38" s="116"/>
      <c r="H38" s="31">
        <f>H36+H37</f>
        <v>661411</v>
      </c>
    </row>
    <row r="39" spans="1:9" x14ac:dyDescent="0.3">
      <c r="A39" s="22" t="s">
        <v>29</v>
      </c>
      <c r="B39" s="23"/>
      <c r="C39" s="23"/>
      <c r="D39" s="5"/>
      <c r="E39" s="5"/>
      <c r="F39" s="5"/>
      <c r="G39" s="5"/>
    </row>
    <row r="40" spans="1:9" x14ac:dyDescent="0.3">
      <c r="A40" s="22" t="s">
        <v>30</v>
      </c>
      <c r="B40" s="23"/>
      <c r="C40" s="23"/>
      <c r="D40" s="15"/>
      <c r="E40" s="15"/>
      <c r="F40" s="15"/>
      <c r="G40" s="15"/>
      <c r="H40" s="15"/>
    </row>
    <row r="41" spans="1:9" x14ac:dyDescent="0.3">
      <c r="A41" s="23" t="s">
        <v>134</v>
      </c>
      <c r="B41" s="23"/>
      <c r="C41" s="23"/>
      <c r="E41" s="14"/>
      <c r="F41" s="14"/>
      <c r="G41" s="14"/>
      <c r="H41" s="14"/>
    </row>
    <row r="42" spans="1:9" x14ac:dyDescent="0.3">
      <c r="A42" s="23" t="s">
        <v>31</v>
      </c>
      <c r="B42" s="23"/>
      <c r="C42" s="23"/>
      <c r="E42" s="16"/>
      <c r="F42" s="16"/>
      <c r="G42" s="16"/>
      <c r="H42" s="16"/>
    </row>
    <row r="43" spans="1:9" x14ac:dyDescent="0.3">
      <c r="A43" s="18"/>
      <c r="B43" s="18"/>
      <c r="C43" s="18"/>
      <c r="E43" s="24" t="s">
        <v>33</v>
      </c>
      <c r="F43" s="24"/>
      <c r="G43" s="24"/>
      <c r="H43" s="24"/>
    </row>
    <row r="44" spans="1:9" x14ac:dyDescent="0.3">
      <c r="A44" s="18"/>
      <c r="B44" s="18"/>
      <c r="C44" s="18"/>
      <c r="E44" s="14"/>
      <c r="F44" s="14"/>
      <c r="G44" s="14"/>
      <c r="H44" s="14"/>
    </row>
    <row r="45" spans="1:9" x14ac:dyDescent="0.3">
      <c r="A45" s="104"/>
      <c r="B45" s="104"/>
      <c r="C45" s="104"/>
      <c r="E45" s="16"/>
      <c r="F45" s="16"/>
      <c r="G45" s="16"/>
      <c r="H45" s="16"/>
    </row>
    <row r="46" spans="1:9" x14ac:dyDescent="0.3">
      <c r="A46" s="24" t="s">
        <v>32</v>
      </c>
      <c r="B46" s="24"/>
      <c r="C46" s="24"/>
      <c r="E46" s="14" t="s">
        <v>1</v>
      </c>
      <c r="F46" s="14"/>
      <c r="G46" s="14"/>
      <c r="H46" s="14"/>
    </row>
    <row r="47" spans="1:9" x14ac:dyDescent="0.3">
      <c r="A47" s="14"/>
      <c r="B47" s="14"/>
      <c r="C47" s="14"/>
      <c r="E47" s="14"/>
      <c r="F47" s="14"/>
      <c r="G47" s="14"/>
      <c r="H47" s="14"/>
    </row>
    <row r="48" spans="1:9" x14ac:dyDescent="0.3">
      <c r="A48" s="102" t="str">
        <f ca="1">H4</f>
        <v>30 July 2026</v>
      </c>
      <c r="B48" s="103"/>
      <c r="C48" s="103"/>
      <c r="E48" s="96"/>
      <c r="F48" s="99"/>
      <c r="G48" s="99"/>
      <c r="H48" s="99"/>
    </row>
    <row r="49" spans="1:8" ht="25.2" customHeight="1" x14ac:dyDescent="0.3">
      <c r="A49" s="24" t="s">
        <v>0</v>
      </c>
      <c r="B49" s="14"/>
      <c r="C49" s="14"/>
      <c r="E49" s="24" t="s">
        <v>0</v>
      </c>
      <c r="F49" s="14"/>
      <c r="G49" s="14"/>
      <c r="H49" s="14"/>
    </row>
  </sheetData>
  <mergeCells count="37">
    <mergeCell ref="F38:G38"/>
    <mergeCell ref="H18:H19"/>
    <mergeCell ref="G1:H1"/>
    <mergeCell ref="E8:G8"/>
    <mergeCell ref="E10:G10"/>
    <mergeCell ref="E11:G11"/>
    <mergeCell ref="A1:F1"/>
    <mergeCell ref="A3:D3"/>
    <mergeCell ref="A4:D4"/>
    <mergeCell ref="E3:G3"/>
    <mergeCell ref="E4:G4"/>
    <mergeCell ref="E5:G5"/>
    <mergeCell ref="E6:G6"/>
    <mergeCell ref="E7:G7"/>
    <mergeCell ref="E14:G14"/>
    <mergeCell ref="A18:A19"/>
    <mergeCell ref="E12:G12"/>
    <mergeCell ref="E13:G13"/>
    <mergeCell ref="A14:D14"/>
    <mergeCell ref="A15:D15"/>
    <mergeCell ref="A16:D16"/>
    <mergeCell ref="A48:C48"/>
    <mergeCell ref="A45:C45"/>
    <mergeCell ref="E48:H48"/>
    <mergeCell ref="A5:D5"/>
    <mergeCell ref="A6:D6"/>
    <mergeCell ref="A7:D7"/>
    <mergeCell ref="A38:C38"/>
    <mergeCell ref="A9:D9"/>
    <mergeCell ref="E9:G9"/>
    <mergeCell ref="A10:D10"/>
    <mergeCell ref="A11:D11"/>
    <mergeCell ref="A12:D12"/>
    <mergeCell ref="A13:D13"/>
    <mergeCell ref="C18:E18"/>
    <mergeCell ref="F18:G18"/>
    <mergeCell ref="B18:B19"/>
  </mergeCells>
  <phoneticPr fontId="11" type="noConversion"/>
  <dataValidations count="1">
    <dataValidation type="whole" operator="greaterThanOrEqual" showErrorMessage="1" errorTitle="Invalid" error="Enter a whole number ≥ 0" sqref="C20:C34 F20:F3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N27"/>
  <sheetViews>
    <sheetView view="pageBreakPreview" zoomScaleNormal="100" zoomScaleSheetLayoutView="100" workbookViewId="0">
      <selection activeCell="E31" sqref="E31"/>
    </sheetView>
  </sheetViews>
  <sheetFormatPr defaultRowHeight="14.4" x14ac:dyDescent="0.3"/>
  <cols>
    <col min="1" max="1" width="9.6640625" customWidth="1"/>
    <col min="2" max="2" width="24.44140625" customWidth="1"/>
    <col min="3" max="3" width="10.109375" bestFit="1" customWidth="1"/>
    <col min="4" max="4" width="11.5546875" bestFit="1" customWidth="1"/>
    <col min="5" max="6" width="13.33203125" bestFit="1" customWidth="1"/>
    <col min="7" max="7" width="12.109375" bestFit="1" customWidth="1"/>
    <col min="8" max="9" width="14.33203125" bestFit="1" customWidth="1"/>
    <col min="10" max="10" width="19" bestFit="1" customWidth="1"/>
    <col min="11" max="12" width="14.33203125" bestFit="1" customWidth="1"/>
    <col min="13" max="13" width="13.44140625" bestFit="1" customWidth="1"/>
    <col min="14" max="14" width="7.44140625" bestFit="1" customWidth="1"/>
    <col min="15" max="17" width="10.6640625" customWidth="1"/>
  </cols>
  <sheetData>
    <row r="1" spans="1:14" ht="19.2" x14ac:dyDescent="0.3">
      <c r="A1" s="121" t="s">
        <v>35</v>
      </c>
      <c r="B1" s="121"/>
      <c r="C1" s="121"/>
      <c r="D1" s="121"/>
      <c r="E1" s="121"/>
      <c r="F1" s="121"/>
      <c r="G1" s="121"/>
      <c r="H1" s="121"/>
      <c r="I1" s="121"/>
      <c r="J1" s="121"/>
      <c r="K1" s="125" t="s">
        <v>135</v>
      </c>
      <c r="L1" s="125"/>
      <c r="M1" s="125"/>
      <c r="N1" s="125"/>
    </row>
    <row r="2" spans="1:14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3">
      <c r="A3" s="34" t="s">
        <v>128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x14ac:dyDescent="0.3">
      <c r="A4" s="34" t="s">
        <v>129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x14ac:dyDescent="0.3">
      <c r="A5" s="34" t="s">
        <v>130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5" thickBot="1" x14ac:dyDescent="0.35">
      <c r="A6" s="40" t="s">
        <v>153</v>
      </c>
      <c r="B6" s="34"/>
      <c r="C6" s="34"/>
      <c r="D6" s="34"/>
      <c r="E6" s="40"/>
      <c r="F6" s="34"/>
      <c r="G6" s="34"/>
      <c r="H6" s="34"/>
      <c r="I6" s="34"/>
      <c r="J6" s="34"/>
      <c r="K6" s="34"/>
      <c r="L6" s="34"/>
      <c r="M6" s="34"/>
      <c r="N6" s="34"/>
    </row>
    <row r="7" spans="1:14" ht="29.4" thickBot="1" x14ac:dyDescent="0.35">
      <c r="A7" s="126" t="s">
        <v>28</v>
      </c>
      <c r="B7" s="127"/>
      <c r="C7" s="77" t="s">
        <v>145</v>
      </c>
      <c r="D7" s="62" t="s">
        <v>121</v>
      </c>
      <c r="E7" s="62" t="s">
        <v>120</v>
      </c>
      <c r="F7" s="62" t="s">
        <v>121</v>
      </c>
      <c r="G7" s="62" t="s">
        <v>120</v>
      </c>
      <c r="H7" s="62" t="s">
        <v>121</v>
      </c>
      <c r="I7" s="62" t="s">
        <v>120</v>
      </c>
      <c r="J7" s="62" t="s">
        <v>121</v>
      </c>
      <c r="K7" s="62" t="s">
        <v>120</v>
      </c>
      <c r="L7" s="62" t="s">
        <v>121</v>
      </c>
      <c r="M7" s="62" t="s">
        <v>120</v>
      </c>
      <c r="N7" s="63" t="s">
        <v>132</v>
      </c>
    </row>
    <row r="8" spans="1:14" x14ac:dyDescent="0.3">
      <c r="A8" s="128" t="str">
        <f>'Invoice - Region 2'!B20</f>
        <v>Themba View Ext 1</v>
      </c>
      <c r="B8" s="129"/>
      <c r="C8" s="78">
        <f>'Invoice - Region 2'!C20</f>
        <v>8</v>
      </c>
      <c r="D8" s="79">
        <v>46170</v>
      </c>
      <c r="E8" s="79">
        <v>46174</v>
      </c>
      <c r="F8" s="79">
        <v>46177</v>
      </c>
      <c r="G8" s="79">
        <v>46181</v>
      </c>
      <c r="H8" s="79">
        <v>46184</v>
      </c>
      <c r="I8" s="79">
        <v>46188</v>
      </c>
      <c r="J8" s="79">
        <v>46191</v>
      </c>
      <c r="K8" s="79">
        <v>46195</v>
      </c>
      <c r="L8" s="79">
        <v>46198</v>
      </c>
      <c r="M8" s="79">
        <v>46202</v>
      </c>
      <c r="N8" s="59">
        <f>COUNT(D8:M8)</f>
        <v>10</v>
      </c>
    </row>
    <row r="9" spans="1:14" x14ac:dyDescent="0.3">
      <c r="A9" s="130" t="str">
        <f>'Invoice - Region 2'!B21</f>
        <v>Marokolong</v>
      </c>
      <c r="B9" s="131"/>
      <c r="C9" s="76">
        <f>'Invoice - Region 2'!C21</f>
        <v>11</v>
      </c>
      <c r="D9" s="82">
        <v>46170</v>
      </c>
      <c r="E9" s="82">
        <v>46174</v>
      </c>
      <c r="F9" s="82">
        <v>46177</v>
      </c>
      <c r="G9" s="82">
        <v>46181</v>
      </c>
      <c r="H9" s="60">
        <v>46184</v>
      </c>
      <c r="I9" s="60">
        <v>46188</v>
      </c>
      <c r="J9" s="60">
        <v>46191</v>
      </c>
      <c r="K9" s="60">
        <v>46195</v>
      </c>
      <c r="L9" s="60">
        <v>46198</v>
      </c>
      <c r="M9" s="60">
        <v>46202</v>
      </c>
      <c r="N9" s="59">
        <f t="shared" ref="N9:N20" si="0">COUNT(D9:M9)</f>
        <v>10</v>
      </c>
    </row>
    <row r="10" spans="1:14" x14ac:dyDescent="0.3">
      <c r="A10" s="130" t="str">
        <f>'Invoice - Region 2'!B22</f>
        <v>Hammanskraal Ext 4</v>
      </c>
      <c r="B10" s="131"/>
      <c r="C10" s="76">
        <f>'Invoice - Region 2'!C22</f>
        <v>30</v>
      </c>
      <c r="D10" s="82">
        <v>46170</v>
      </c>
      <c r="E10" s="82">
        <v>46174</v>
      </c>
      <c r="F10" s="82">
        <v>46177</v>
      </c>
      <c r="G10" s="82">
        <v>46181</v>
      </c>
      <c r="H10" s="60">
        <v>46184</v>
      </c>
      <c r="I10" s="60">
        <v>46188</v>
      </c>
      <c r="J10" s="60">
        <v>46191</v>
      </c>
      <c r="K10" s="60">
        <v>46195</v>
      </c>
      <c r="L10" s="60">
        <v>46198</v>
      </c>
      <c r="M10" s="60">
        <v>46202</v>
      </c>
      <c r="N10" s="59">
        <f t="shared" si="0"/>
        <v>10</v>
      </c>
    </row>
    <row r="11" spans="1:14" x14ac:dyDescent="0.3">
      <c r="A11" s="130" t="str">
        <f>'Invoice - Region 2'!B23</f>
        <v>Hammanskraal portion 9 &amp; 10</v>
      </c>
      <c r="B11" s="131"/>
      <c r="C11" s="76">
        <f>'Invoice - Region 2'!C23</f>
        <v>160</v>
      </c>
      <c r="D11" s="82">
        <v>46170</v>
      </c>
      <c r="E11" s="82">
        <v>46174</v>
      </c>
      <c r="F11" s="82">
        <v>46177</v>
      </c>
      <c r="G11" s="82">
        <v>46181</v>
      </c>
      <c r="H11" s="60">
        <v>46184</v>
      </c>
      <c r="I11" s="60">
        <v>46188</v>
      </c>
      <c r="J11" s="60">
        <v>46191</v>
      </c>
      <c r="K11" s="60">
        <v>46195</v>
      </c>
      <c r="L11" s="60">
        <v>46198</v>
      </c>
      <c r="M11" s="60">
        <v>46202</v>
      </c>
      <c r="N11" s="59">
        <f t="shared" si="0"/>
        <v>10</v>
      </c>
    </row>
    <row r="12" spans="1:14" x14ac:dyDescent="0.3">
      <c r="A12" s="130" t="str">
        <f>'Invoice - Region 2'!B24</f>
        <v>Soshanguve X Buffer C</v>
      </c>
      <c r="B12" s="131"/>
      <c r="C12" s="76">
        <f>'Invoice - Region 2'!C24</f>
        <v>50</v>
      </c>
      <c r="D12" s="82">
        <v>46170</v>
      </c>
      <c r="E12" s="82">
        <v>46174</v>
      </c>
      <c r="F12" s="82">
        <v>46177</v>
      </c>
      <c r="G12" s="82">
        <v>46181</v>
      </c>
      <c r="H12" s="60">
        <v>46184</v>
      </c>
      <c r="I12" s="60">
        <v>46188</v>
      </c>
      <c r="J12" s="60">
        <v>46191</v>
      </c>
      <c r="K12" s="60">
        <v>46195</v>
      </c>
      <c r="L12" s="60">
        <v>46198</v>
      </c>
      <c r="M12" s="60">
        <v>46202</v>
      </c>
      <c r="N12" s="59">
        <f t="shared" si="0"/>
        <v>10</v>
      </c>
    </row>
    <row r="13" spans="1:14" x14ac:dyDescent="0.3">
      <c r="A13" s="130" t="str">
        <f>'Invoice - Region 2'!B25</f>
        <v>Soshanguve X Buffer D</v>
      </c>
      <c r="B13" s="131"/>
      <c r="C13" s="76">
        <f>'Invoice - Region 2'!C25</f>
        <v>60</v>
      </c>
      <c r="D13" s="82">
        <v>46170</v>
      </c>
      <c r="E13" s="82">
        <v>46174</v>
      </c>
      <c r="F13" s="82">
        <v>46177</v>
      </c>
      <c r="G13" s="82">
        <v>46181</v>
      </c>
      <c r="H13" s="60">
        <v>46184</v>
      </c>
      <c r="I13" s="60">
        <v>46188</v>
      </c>
      <c r="J13" s="60">
        <v>46191</v>
      </c>
      <c r="K13" s="60">
        <v>46195</v>
      </c>
      <c r="L13" s="60">
        <v>46198</v>
      </c>
      <c r="M13" s="60">
        <v>46202</v>
      </c>
      <c r="N13" s="59">
        <f t="shared" si="0"/>
        <v>10</v>
      </c>
    </row>
    <row r="14" spans="1:14" x14ac:dyDescent="0.3">
      <c r="A14" s="130" t="str">
        <f>'Invoice - Region 2'!B26</f>
        <v>Soshanguve X Buffer Civcon</v>
      </c>
      <c r="B14" s="131"/>
      <c r="C14" s="76">
        <f>'Invoice - Region 2'!C26</f>
        <v>10</v>
      </c>
      <c r="D14" s="82">
        <v>46170</v>
      </c>
      <c r="E14" s="82">
        <v>46174</v>
      </c>
      <c r="F14" s="82">
        <v>46177</v>
      </c>
      <c r="G14" s="82">
        <v>46181</v>
      </c>
      <c r="H14" s="60">
        <v>46184</v>
      </c>
      <c r="I14" s="60">
        <v>46188</v>
      </c>
      <c r="J14" s="60">
        <v>46191</v>
      </c>
      <c r="K14" s="60">
        <v>46195</v>
      </c>
      <c r="L14" s="60">
        <v>46198</v>
      </c>
      <c r="M14" s="60">
        <v>46202</v>
      </c>
      <c r="N14" s="59">
        <f t="shared" si="0"/>
        <v>10</v>
      </c>
    </row>
    <row r="15" spans="1:14" x14ac:dyDescent="0.3">
      <c r="A15" s="130" t="str">
        <f>'Invoice - Region 2'!B27</f>
        <v>Dali Mpofu</v>
      </c>
      <c r="B15" s="131"/>
      <c r="C15" s="76">
        <f>'Invoice - Region 2'!C27</f>
        <v>40</v>
      </c>
      <c r="D15" s="82">
        <v>46170</v>
      </c>
      <c r="E15" s="82">
        <v>46174</v>
      </c>
      <c r="F15" s="82">
        <v>46177</v>
      </c>
      <c r="G15" s="82">
        <v>46181</v>
      </c>
      <c r="H15" s="60">
        <v>46184</v>
      </c>
      <c r="I15" s="60">
        <v>46188</v>
      </c>
      <c r="J15" s="60">
        <v>46191</v>
      </c>
      <c r="K15" s="60">
        <v>46195</v>
      </c>
      <c r="L15" s="60">
        <v>46198</v>
      </c>
      <c r="M15" s="60">
        <v>46202</v>
      </c>
      <c r="N15" s="59">
        <f t="shared" si="0"/>
        <v>10</v>
      </c>
    </row>
    <row r="16" spans="1:14" x14ac:dyDescent="0.3">
      <c r="A16" s="130" t="str">
        <f>'Invoice - Region 2'!B28</f>
        <v>Stinkwater</v>
      </c>
      <c r="B16" s="131"/>
      <c r="C16" s="76">
        <f>'Invoice - Region 2'!C28</f>
        <v>3</v>
      </c>
      <c r="D16" s="82">
        <v>46170</v>
      </c>
      <c r="E16" s="82">
        <v>46174</v>
      </c>
      <c r="F16" s="82">
        <v>46177</v>
      </c>
      <c r="G16" s="82">
        <v>46181</v>
      </c>
      <c r="H16" s="60">
        <v>46184</v>
      </c>
      <c r="I16" s="60">
        <v>46188</v>
      </c>
      <c r="J16" s="60">
        <v>46191</v>
      </c>
      <c r="K16" s="60">
        <v>46195</v>
      </c>
      <c r="L16" s="60">
        <v>46198</v>
      </c>
      <c r="M16" s="60">
        <v>46202</v>
      </c>
      <c r="N16" s="59">
        <f t="shared" si="0"/>
        <v>10</v>
      </c>
    </row>
    <row r="17" spans="1:14" x14ac:dyDescent="0.3">
      <c r="A17" s="130" t="str">
        <f>'Invoice - Region 2'!B29</f>
        <v>Stinkwater Ext 10</v>
      </c>
      <c r="B17" s="131"/>
      <c r="C17" s="76">
        <f>'Invoice - Region 2'!C29</f>
        <v>70</v>
      </c>
      <c r="D17" s="82">
        <v>46170</v>
      </c>
      <c r="E17" s="82">
        <v>46174</v>
      </c>
      <c r="F17" s="82">
        <v>46177</v>
      </c>
      <c r="G17" s="82">
        <v>46181</v>
      </c>
      <c r="H17" s="60">
        <v>46184</v>
      </c>
      <c r="I17" s="60">
        <v>46188</v>
      </c>
      <c r="J17" s="60">
        <v>46191</v>
      </c>
      <c r="K17" s="60">
        <v>46195</v>
      </c>
      <c r="L17" s="60">
        <v>46198</v>
      </c>
      <c r="M17" s="60">
        <v>46202</v>
      </c>
      <c r="N17" s="59">
        <f t="shared" si="0"/>
        <v>10</v>
      </c>
    </row>
    <row r="18" spans="1:14" x14ac:dyDescent="0.3">
      <c r="A18" s="130" t="str">
        <f>'Invoice - Region 2'!B30</f>
        <v>Chris Hani</v>
      </c>
      <c r="B18" s="131"/>
      <c r="C18" s="76">
        <f>'Invoice - Region 2'!C30</f>
        <v>80</v>
      </c>
      <c r="D18" s="82">
        <v>46170</v>
      </c>
      <c r="E18" s="82">
        <v>46174</v>
      </c>
      <c r="F18" s="82">
        <v>46177</v>
      </c>
      <c r="G18" s="82">
        <v>46181</v>
      </c>
      <c r="H18" s="60">
        <v>46184</v>
      </c>
      <c r="I18" s="60">
        <v>46188</v>
      </c>
      <c r="J18" s="60">
        <v>46191</v>
      </c>
      <c r="K18" s="60">
        <v>46195</v>
      </c>
      <c r="L18" s="60">
        <v>46198</v>
      </c>
      <c r="M18" s="60">
        <v>46202</v>
      </c>
      <c r="N18" s="59">
        <f t="shared" si="0"/>
        <v>10</v>
      </c>
    </row>
    <row r="19" spans="1:14" x14ac:dyDescent="0.3">
      <c r="A19" s="130" t="str">
        <f>'Invoice - Region 2'!B31</f>
        <v>Phomolong Phase 1</v>
      </c>
      <c r="B19" s="131"/>
      <c r="C19" s="76">
        <f>'Invoice - Region 2'!C31</f>
        <v>59</v>
      </c>
      <c r="D19" s="82">
        <v>46170</v>
      </c>
      <c r="E19" s="82">
        <v>46174</v>
      </c>
      <c r="F19" s="82">
        <v>46177</v>
      </c>
      <c r="G19" s="82">
        <v>46181</v>
      </c>
      <c r="H19" s="60">
        <v>46184</v>
      </c>
      <c r="I19" s="60">
        <v>46188</v>
      </c>
      <c r="J19" s="60">
        <v>46191</v>
      </c>
      <c r="K19" s="60">
        <v>46195</v>
      </c>
      <c r="L19" s="60">
        <v>46198</v>
      </c>
      <c r="M19" s="60">
        <v>46202</v>
      </c>
      <c r="N19" s="59">
        <f t="shared" si="0"/>
        <v>10</v>
      </c>
    </row>
    <row r="20" spans="1:14" ht="15" thickBot="1" x14ac:dyDescent="0.35">
      <c r="A20" s="133" t="str">
        <f>'Invoice - Region 2'!B32</f>
        <v>Greenfield Ext 14 (Lefika Camp)</v>
      </c>
      <c r="B20" s="134"/>
      <c r="C20" s="80">
        <f>'Invoice - Region 2'!C32</f>
        <v>15</v>
      </c>
      <c r="D20" s="83">
        <v>46170</v>
      </c>
      <c r="E20" s="83">
        <v>46174</v>
      </c>
      <c r="F20" s="83">
        <v>46177</v>
      </c>
      <c r="G20" s="83">
        <v>46181</v>
      </c>
      <c r="H20" s="61">
        <v>46184</v>
      </c>
      <c r="I20" s="61">
        <v>46188</v>
      </c>
      <c r="J20" s="61">
        <v>46191</v>
      </c>
      <c r="K20" s="61">
        <v>46195</v>
      </c>
      <c r="L20" s="61">
        <v>46198</v>
      </c>
      <c r="M20" s="61">
        <v>46202</v>
      </c>
      <c r="N20" s="84">
        <f t="shared" si="0"/>
        <v>10</v>
      </c>
    </row>
    <row r="21" spans="1:14" x14ac:dyDescent="0.3">
      <c r="C21" s="81"/>
      <c r="D21" s="81"/>
      <c r="H21" s="42"/>
      <c r="I21" s="42"/>
      <c r="J21" s="42"/>
      <c r="K21" s="42"/>
      <c r="L21" s="42"/>
      <c r="M21" s="42"/>
      <c r="N21" s="35"/>
    </row>
    <row r="22" spans="1:14" x14ac:dyDescent="0.3">
      <c r="H22" s="42"/>
      <c r="I22" s="42"/>
      <c r="J22" s="42"/>
      <c r="K22" s="42"/>
      <c r="L22" s="42"/>
      <c r="M22" s="42"/>
      <c r="N22" s="35"/>
    </row>
    <row r="23" spans="1:14" x14ac:dyDescent="0.3">
      <c r="A23" s="99"/>
      <c r="B23" s="99"/>
      <c r="C23" s="99"/>
      <c r="D23" s="99"/>
      <c r="E23" s="99"/>
      <c r="F23" s="99"/>
      <c r="G23" s="99"/>
      <c r="H23" s="99"/>
      <c r="I23" s="14"/>
      <c r="J23" s="99"/>
      <c r="K23" s="99"/>
      <c r="L23" s="99"/>
      <c r="M23" s="99"/>
      <c r="N23" s="14"/>
    </row>
    <row r="24" spans="1:14" x14ac:dyDescent="0.3">
      <c r="A24" s="24" t="s">
        <v>32</v>
      </c>
      <c r="B24" s="24"/>
      <c r="C24" s="24"/>
      <c r="D24" s="24"/>
      <c r="E24" s="24"/>
      <c r="F24" s="24"/>
      <c r="G24" s="24"/>
      <c r="H24" s="24"/>
      <c r="I24" s="24"/>
      <c r="J24" s="24" t="s">
        <v>33</v>
      </c>
      <c r="K24" s="24"/>
      <c r="L24" s="14"/>
      <c r="M24" s="24"/>
      <c r="N24" s="24"/>
    </row>
    <row r="25" spans="1:14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14"/>
      <c r="M25" s="24"/>
      <c r="N25" s="24"/>
    </row>
    <row r="26" spans="1:14" x14ac:dyDescent="0.3">
      <c r="A26" s="132" t="str">
        <f ca="1">'Invoice - Region 2'!H4</f>
        <v>30 July 2026</v>
      </c>
      <c r="B26" s="132"/>
      <c r="C26" s="75"/>
      <c r="D26" s="75"/>
      <c r="E26" s="75"/>
      <c r="F26" s="75"/>
      <c r="G26" s="75"/>
      <c r="H26" s="14"/>
      <c r="I26" s="14"/>
      <c r="J26" s="99"/>
      <c r="K26" s="99"/>
      <c r="L26" s="99"/>
      <c r="M26" s="99"/>
      <c r="N26" s="14"/>
    </row>
    <row r="27" spans="1:14" x14ac:dyDescent="0.3">
      <c r="A27" s="132" t="s">
        <v>131</v>
      </c>
      <c r="B27" s="132"/>
      <c r="C27" s="75"/>
      <c r="D27" s="75"/>
      <c r="E27" s="75"/>
      <c r="F27" s="75"/>
      <c r="G27" s="75"/>
      <c r="H27" s="41"/>
      <c r="I27" s="41"/>
      <c r="J27" s="132" t="s">
        <v>131</v>
      </c>
      <c r="K27" s="132"/>
      <c r="L27" s="41"/>
      <c r="M27" s="41"/>
      <c r="N27" s="41"/>
    </row>
  </sheetData>
  <mergeCells count="22">
    <mergeCell ref="J26:M26"/>
    <mergeCell ref="J23:M23"/>
    <mergeCell ref="J27:K27"/>
    <mergeCell ref="A26:B26"/>
    <mergeCell ref="A19:B19"/>
    <mergeCell ref="A20:B20"/>
    <mergeCell ref="A27:B27"/>
    <mergeCell ref="A1:J1"/>
    <mergeCell ref="K1:N1"/>
    <mergeCell ref="A7:B7"/>
    <mergeCell ref="A8:B8"/>
    <mergeCell ref="A23:H23"/>
    <mergeCell ref="A17:B17"/>
    <mergeCell ref="A12:B12"/>
    <mergeCell ref="A11:B11"/>
    <mergeCell ref="A15:B15"/>
    <mergeCell ref="A16:B16"/>
    <mergeCell ref="A13:B13"/>
    <mergeCell ref="A14:B14"/>
    <mergeCell ref="A18:B18"/>
    <mergeCell ref="A9:B9"/>
    <mergeCell ref="A10:B10"/>
  </mergeCells>
  <phoneticPr fontId="11" type="noConversion"/>
  <pageMargins left="0.7" right="0.7" top="1.542" bottom="0.75" header="0.3" footer="0.3"/>
  <pageSetup paperSize="9" scale="68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dimension ref="A1:D26"/>
  <sheetViews>
    <sheetView tabSelected="1" view="pageBreakPreview" zoomScaleNormal="100" zoomScaleSheetLayoutView="100" workbookViewId="0">
      <selection activeCell="D30" sqref="D30"/>
    </sheetView>
  </sheetViews>
  <sheetFormatPr defaultRowHeight="14.4" x14ac:dyDescent="0.3"/>
  <cols>
    <col min="1" max="1" width="41.33203125" bestFit="1" customWidth="1"/>
    <col min="2" max="2" width="4" customWidth="1"/>
    <col min="3" max="3" width="14.33203125" customWidth="1"/>
    <col min="4" max="4" width="27.109375" customWidth="1"/>
    <col min="5" max="5" width="12.44140625" bestFit="1" customWidth="1"/>
    <col min="6" max="8" width="10.6640625" customWidth="1"/>
  </cols>
  <sheetData>
    <row r="1" spans="1:4" ht="19.2" x14ac:dyDescent="0.3">
      <c r="A1" s="122" t="s">
        <v>143</v>
      </c>
      <c r="B1" s="122"/>
      <c r="C1" s="122"/>
      <c r="D1" s="122"/>
    </row>
    <row r="2" spans="1:4" ht="1.95" customHeight="1" x14ac:dyDescent="0.3">
      <c r="A2" s="10"/>
      <c r="B2" s="10"/>
      <c r="C2" s="10"/>
      <c r="D2" s="10"/>
    </row>
    <row r="3" spans="1:4" x14ac:dyDescent="0.3">
      <c r="A3" s="137" t="s">
        <v>137</v>
      </c>
      <c r="B3" s="138"/>
      <c r="C3" s="64" t="s">
        <v>136</v>
      </c>
      <c r="D3" s="64" t="s">
        <v>139</v>
      </c>
    </row>
    <row r="4" spans="1:4" x14ac:dyDescent="0.3">
      <c r="A4" s="139" t="s">
        <v>119</v>
      </c>
      <c r="B4" s="140"/>
      <c r="C4" s="65">
        <v>8</v>
      </c>
      <c r="D4" s="66" t="s">
        <v>138</v>
      </c>
    </row>
    <row r="5" spans="1:4" x14ac:dyDescent="0.3">
      <c r="A5" s="135" t="s">
        <v>13</v>
      </c>
      <c r="B5" s="136"/>
      <c r="C5" s="68">
        <v>11</v>
      </c>
      <c r="D5" s="66" t="s">
        <v>138</v>
      </c>
    </row>
    <row r="6" spans="1:4" x14ac:dyDescent="0.3">
      <c r="A6" s="135" t="s">
        <v>14</v>
      </c>
      <c r="B6" s="136"/>
      <c r="C6" s="68">
        <v>30</v>
      </c>
      <c r="D6" s="66" t="s">
        <v>138</v>
      </c>
    </row>
    <row r="7" spans="1:4" x14ac:dyDescent="0.3">
      <c r="A7" s="135" t="s">
        <v>15</v>
      </c>
      <c r="B7" s="136"/>
      <c r="C7" s="68">
        <v>160</v>
      </c>
      <c r="D7" s="66" t="s">
        <v>138</v>
      </c>
    </row>
    <row r="8" spans="1:4" x14ac:dyDescent="0.3">
      <c r="A8" s="135" t="s">
        <v>16</v>
      </c>
      <c r="B8" s="136"/>
      <c r="C8" s="68">
        <v>50</v>
      </c>
      <c r="D8" s="66" t="s">
        <v>138</v>
      </c>
    </row>
    <row r="9" spans="1:4" x14ac:dyDescent="0.3">
      <c r="A9" s="135" t="s">
        <v>17</v>
      </c>
      <c r="B9" s="136"/>
      <c r="C9" s="68">
        <v>60</v>
      </c>
      <c r="D9" s="66" t="s">
        <v>138</v>
      </c>
    </row>
    <row r="10" spans="1:4" x14ac:dyDescent="0.3">
      <c r="A10" s="135" t="s">
        <v>18</v>
      </c>
      <c r="B10" s="136"/>
      <c r="C10" s="68">
        <v>10</v>
      </c>
      <c r="D10" s="66" t="s">
        <v>138</v>
      </c>
    </row>
    <row r="11" spans="1:4" x14ac:dyDescent="0.3">
      <c r="A11" s="135" t="s">
        <v>19</v>
      </c>
      <c r="B11" s="136"/>
      <c r="C11" s="68">
        <v>40</v>
      </c>
      <c r="D11" s="66" t="s">
        <v>138</v>
      </c>
    </row>
    <row r="12" spans="1:4" x14ac:dyDescent="0.3">
      <c r="A12" s="135" t="s">
        <v>20</v>
      </c>
      <c r="B12" s="136"/>
      <c r="C12" s="68">
        <v>3</v>
      </c>
      <c r="D12" s="66" t="s">
        <v>138</v>
      </c>
    </row>
    <row r="13" spans="1:4" x14ac:dyDescent="0.3">
      <c r="A13" s="135" t="s">
        <v>21</v>
      </c>
      <c r="B13" s="136"/>
      <c r="C13" s="68">
        <v>70</v>
      </c>
      <c r="D13" s="66" t="s">
        <v>138</v>
      </c>
    </row>
    <row r="14" spans="1:4" x14ac:dyDescent="0.3">
      <c r="A14" s="135" t="s">
        <v>22</v>
      </c>
      <c r="B14" s="136"/>
      <c r="C14" s="68">
        <v>80</v>
      </c>
      <c r="D14" s="66" t="s">
        <v>138</v>
      </c>
    </row>
    <row r="15" spans="1:4" x14ac:dyDescent="0.3">
      <c r="A15" s="135" t="s">
        <v>23</v>
      </c>
      <c r="B15" s="136"/>
      <c r="C15" s="68">
        <v>59</v>
      </c>
      <c r="D15" s="66" t="s">
        <v>138</v>
      </c>
    </row>
    <row r="16" spans="1:4" x14ac:dyDescent="0.3">
      <c r="A16" s="135" t="s">
        <v>142</v>
      </c>
      <c r="B16" s="136"/>
      <c r="C16" s="68">
        <v>15</v>
      </c>
      <c r="D16" s="66" t="s">
        <v>138</v>
      </c>
    </row>
    <row r="17" spans="1:4" x14ac:dyDescent="0.3">
      <c r="A17" s="135"/>
      <c r="B17" s="136"/>
      <c r="C17" s="67"/>
      <c r="D17" s="65"/>
    </row>
    <row r="18" spans="1:4" ht="30" customHeight="1" x14ac:dyDescent="0.3">
      <c r="A18" s="14"/>
      <c r="B18" s="14"/>
      <c r="C18" s="100"/>
      <c r="D18" s="100"/>
    </row>
    <row r="19" spans="1:4" x14ac:dyDescent="0.3">
      <c r="A19" s="24" t="s">
        <v>140</v>
      </c>
      <c r="B19" s="24"/>
      <c r="C19" s="97" t="s">
        <v>33</v>
      </c>
      <c r="D19" s="97"/>
    </row>
    <row r="20" spans="1:4" x14ac:dyDescent="0.3">
      <c r="A20" s="14"/>
      <c r="B20" s="14"/>
      <c r="C20" s="100"/>
      <c r="D20" s="100"/>
    </row>
    <row r="21" spans="1:4" ht="28.95" customHeight="1" x14ac:dyDescent="0.3">
      <c r="A21" s="16"/>
      <c r="B21" s="14"/>
      <c r="C21" s="99"/>
      <c r="D21" s="99"/>
    </row>
    <row r="22" spans="1:4" x14ac:dyDescent="0.3">
      <c r="A22" s="14" t="s">
        <v>141</v>
      </c>
      <c r="B22" s="14"/>
      <c r="C22" s="100" t="s">
        <v>141</v>
      </c>
      <c r="D22" s="100"/>
    </row>
    <row r="23" spans="1:4" x14ac:dyDescent="0.3">
      <c r="A23" s="14"/>
      <c r="B23" s="14"/>
      <c r="C23" s="100"/>
      <c r="D23" s="100"/>
    </row>
    <row r="24" spans="1:4" ht="28.95" customHeight="1" x14ac:dyDescent="0.3">
      <c r="A24" s="70" t="str">
        <f ca="1">'Invoice - Region 2'!H4</f>
        <v>30 July 2026</v>
      </c>
      <c r="B24" s="69"/>
      <c r="C24" s="96"/>
      <c r="D24" s="96"/>
    </row>
    <row r="25" spans="1:4" x14ac:dyDescent="0.3">
      <c r="A25" s="24" t="s">
        <v>131</v>
      </c>
      <c r="B25" s="24"/>
      <c r="C25" s="97" t="s">
        <v>131</v>
      </c>
      <c r="D25" s="97"/>
    </row>
    <row r="26" spans="1:4" ht="25.2" customHeight="1" x14ac:dyDescent="0.3">
      <c r="A26" s="24"/>
      <c r="B26" s="24"/>
      <c r="C26" s="24"/>
      <c r="D26" s="24"/>
    </row>
  </sheetData>
  <mergeCells count="24">
    <mergeCell ref="A13:B13"/>
    <mergeCell ref="A14:B14"/>
    <mergeCell ref="A15:B15"/>
    <mergeCell ref="A16:B16"/>
    <mergeCell ref="A17:B17"/>
    <mergeCell ref="C22:D22"/>
    <mergeCell ref="C23:D23"/>
    <mergeCell ref="C24:D24"/>
    <mergeCell ref="C25:D25"/>
    <mergeCell ref="C18:D18"/>
    <mergeCell ref="C19:D19"/>
    <mergeCell ref="C20:D20"/>
    <mergeCell ref="C21:D21"/>
    <mergeCell ref="A10:B10"/>
    <mergeCell ref="A11:B11"/>
    <mergeCell ref="A12:B12"/>
    <mergeCell ref="A1:D1"/>
    <mergeCell ref="A3:B3"/>
    <mergeCell ref="A4:B4"/>
    <mergeCell ref="A5:B5"/>
    <mergeCell ref="A6:B6"/>
    <mergeCell ref="A7:B7"/>
    <mergeCell ref="A8:B8"/>
    <mergeCell ref="A9:B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2"/>
  <sheetViews>
    <sheetView view="pageBreakPreview" topLeftCell="A42" zoomScaleNormal="100" zoomScaleSheetLayoutView="100" workbookViewId="0">
      <selection activeCell="F38" sqref="F38"/>
    </sheetView>
  </sheetViews>
  <sheetFormatPr defaultColWidth="8.88671875" defaultRowHeight="13.8" x14ac:dyDescent="0.25"/>
  <cols>
    <col min="1" max="1" width="29.6640625" style="36" bestFit="1" customWidth="1"/>
    <col min="2" max="2" width="27.44140625" style="36" customWidth="1"/>
    <col min="3" max="3" width="3.109375" style="36" customWidth="1"/>
    <col min="4" max="4" width="28.33203125" style="38" bestFit="1" customWidth="1"/>
    <col min="5" max="5" width="20.109375" style="38" customWidth="1"/>
    <col min="6" max="6" width="12.44140625" style="36" bestFit="1" customWidth="1"/>
    <col min="7" max="9" width="10.6640625" style="36" customWidth="1"/>
    <col min="10" max="16384" width="8.88671875" style="36"/>
  </cols>
  <sheetData>
    <row r="1" spans="1:5" ht="19.8" x14ac:dyDescent="0.25">
      <c r="A1" s="94" t="s">
        <v>35</v>
      </c>
      <c r="B1" s="94"/>
      <c r="C1" s="94"/>
      <c r="D1" s="95" t="s">
        <v>44</v>
      </c>
      <c r="E1" s="95"/>
    </row>
    <row r="2" spans="1:5" ht="1.95" customHeight="1" x14ac:dyDescent="0.25">
      <c r="A2" s="71"/>
      <c r="B2" s="71"/>
      <c r="C2" s="71"/>
      <c r="D2" s="72"/>
      <c r="E2" s="72"/>
    </row>
    <row r="3" spans="1:5" ht="15.6" x14ac:dyDescent="0.3">
      <c r="A3" s="85" t="s">
        <v>41</v>
      </c>
      <c r="B3" s="101" t="s">
        <v>42</v>
      </c>
      <c r="C3" s="101"/>
      <c r="D3" s="86" t="s">
        <v>40</v>
      </c>
      <c r="E3" s="86" t="s">
        <v>43</v>
      </c>
    </row>
    <row r="4" spans="1:5" s="37" customFormat="1" ht="15.6" x14ac:dyDescent="0.3">
      <c r="A4" s="87" t="s">
        <v>46</v>
      </c>
      <c r="B4" s="93">
        <v>9305225537087</v>
      </c>
      <c r="C4" s="93"/>
      <c r="D4" s="88" t="s">
        <v>22</v>
      </c>
      <c r="E4" s="88" t="s">
        <v>115</v>
      </c>
    </row>
    <row r="5" spans="1:5" s="37" customFormat="1" ht="15.6" x14ac:dyDescent="0.3">
      <c r="A5" s="87" t="s">
        <v>47</v>
      </c>
      <c r="B5" s="93">
        <v>6806201263088</v>
      </c>
      <c r="C5" s="93"/>
      <c r="D5" s="88" t="s">
        <v>22</v>
      </c>
      <c r="E5" s="88" t="s">
        <v>116</v>
      </c>
    </row>
    <row r="6" spans="1:5" s="37" customFormat="1" ht="15.6" x14ac:dyDescent="0.3">
      <c r="A6" s="87" t="s">
        <v>48</v>
      </c>
      <c r="B6" s="93">
        <v>7509221121083</v>
      </c>
      <c r="C6" s="93"/>
      <c r="D6" s="88" t="s">
        <v>22</v>
      </c>
      <c r="E6" s="88" t="s">
        <v>116</v>
      </c>
    </row>
    <row r="7" spans="1:5" s="37" customFormat="1" ht="15.6" x14ac:dyDescent="0.3">
      <c r="A7" s="87" t="s">
        <v>49</v>
      </c>
      <c r="B7" s="93">
        <v>8202015595089</v>
      </c>
      <c r="C7" s="93"/>
      <c r="D7" s="88" t="s">
        <v>22</v>
      </c>
      <c r="E7" s="88" t="s">
        <v>116</v>
      </c>
    </row>
    <row r="8" spans="1:5" s="37" customFormat="1" ht="15.6" x14ac:dyDescent="0.3">
      <c r="A8" s="87" t="s">
        <v>50</v>
      </c>
      <c r="B8" s="93">
        <v>8003051321087</v>
      </c>
      <c r="C8" s="93"/>
      <c r="D8" s="88" t="s">
        <v>22</v>
      </c>
      <c r="E8" s="88" t="s">
        <v>116</v>
      </c>
    </row>
    <row r="9" spans="1:5" s="37" customFormat="1" ht="15.6" x14ac:dyDescent="0.3">
      <c r="A9" s="87" t="s">
        <v>51</v>
      </c>
      <c r="B9" s="93">
        <v>8311170776085</v>
      </c>
      <c r="C9" s="93"/>
      <c r="D9" s="88" t="s">
        <v>22</v>
      </c>
      <c r="E9" s="88" t="s">
        <v>116</v>
      </c>
    </row>
    <row r="10" spans="1:5" s="37" customFormat="1" ht="15.6" x14ac:dyDescent="0.3">
      <c r="A10" s="87" t="s">
        <v>52</v>
      </c>
      <c r="B10" s="93">
        <v>9503010642084</v>
      </c>
      <c r="C10" s="93"/>
      <c r="D10" s="88" t="s">
        <v>22</v>
      </c>
      <c r="E10" s="88" t="s">
        <v>116</v>
      </c>
    </row>
    <row r="11" spans="1:5" s="37" customFormat="1" ht="15.6" x14ac:dyDescent="0.3">
      <c r="A11" s="87" t="s">
        <v>53</v>
      </c>
      <c r="B11" s="93">
        <v>9805131078084</v>
      </c>
      <c r="C11" s="93"/>
      <c r="D11" s="88" t="s">
        <v>22</v>
      </c>
      <c r="E11" s="88" t="s">
        <v>116</v>
      </c>
    </row>
    <row r="12" spans="1:5" s="37" customFormat="1" ht="15.6" x14ac:dyDescent="0.3">
      <c r="A12" s="87" t="s">
        <v>54</v>
      </c>
      <c r="B12" s="93">
        <v>9809260260083</v>
      </c>
      <c r="C12" s="93"/>
      <c r="D12" s="88" t="s">
        <v>22</v>
      </c>
      <c r="E12" s="88" t="s">
        <v>116</v>
      </c>
    </row>
    <row r="13" spans="1:5" s="37" customFormat="1" ht="15.6" x14ac:dyDescent="0.3">
      <c r="A13" s="87" t="s">
        <v>67</v>
      </c>
      <c r="B13" s="93">
        <v>8306205458089</v>
      </c>
      <c r="C13" s="93"/>
      <c r="D13" s="89" t="s">
        <v>19</v>
      </c>
      <c r="E13" s="88" t="s">
        <v>115</v>
      </c>
    </row>
    <row r="14" spans="1:5" s="37" customFormat="1" ht="15.6" x14ac:dyDescent="0.3">
      <c r="A14" s="87" t="s">
        <v>68</v>
      </c>
      <c r="B14" s="93">
        <v>7408140901081</v>
      </c>
      <c r="C14" s="93"/>
      <c r="D14" s="89" t="s">
        <v>19</v>
      </c>
      <c r="E14" s="88" t="s">
        <v>116</v>
      </c>
    </row>
    <row r="15" spans="1:5" s="37" customFormat="1" ht="15.6" x14ac:dyDescent="0.3">
      <c r="A15" s="87" t="s">
        <v>69</v>
      </c>
      <c r="B15" s="93">
        <v>7501016014086</v>
      </c>
      <c r="C15" s="93"/>
      <c r="D15" s="89" t="s">
        <v>19</v>
      </c>
      <c r="E15" s="88" t="s">
        <v>116</v>
      </c>
    </row>
    <row r="16" spans="1:5" s="37" customFormat="1" ht="15.6" x14ac:dyDescent="0.3">
      <c r="A16" s="87" t="s">
        <v>70</v>
      </c>
      <c r="B16" s="93">
        <v>9102240807086</v>
      </c>
      <c r="C16" s="93"/>
      <c r="D16" s="89" t="s">
        <v>19</v>
      </c>
      <c r="E16" s="88" t="s">
        <v>116</v>
      </c>
    </row>
    <row r="17" spans="1:5" s="37" customFormat="1" ht="15.6" x14ac:dyDescent="0.3">
      <c r="A17" s="87" t="s">
        <v>111</v>
      </c>
      <c r="B17" s="93">
        <v>9303120727085</v>
      </c>
      <c r="C17" s="93"/>
      <c r="D17" s="89" t="s">
        <v>19</v>
      </c>
      <c r="E17" s="88" t="s">
        <v>116</v>
      </c>
    </row>
    <row r="18" spans="1:5" s="37" customFormat="1" ht="15.6" x14ac:dyDescent="0.3">
      <c r="A18" s="87" t="s">
        <v>114</v>
      </c>
      <c r="B18" s="93">
        <v>8304120840085</v>
      </c>
      <c r="C18" s="93"/>
      <c r="D18" s="89" t="s">
        <v>19</v>
      </c>
      <c r="E18" s="88" t="s">
        <v>115</v>
      </c>
    </row>
    <row r="19" spans="1:5" s="37" customFormat="1" ht="15.6" x14ac:dyDescent="0.3">
      <c r="A19" s="87" t="s">
        <v>105</v>
      </c>
      <c r="B19" s="93">
        <v>5406280281084</v>
      </c>
      <c r="C19" s="93"/>
      <c r="D19" s="89" t="s">
        <v>144</v>
      </c>
      <c r="E19" s="89" t="s">
        <v>115</v>
      </c>
    </row>
    <row r="20" spans="1:5" s="37" customFormat="1" ht="15.6" x14ac:dyDescent="0.3">
      <c r="A20" s="87" t="s">
        <v>106</v>
      </c>
      <c r="B20" s="93">
        <v>8205280984086</v>
      </c>
      <c r="C20" s="93"/>
      <c r="D20" s="89" t="s">
        <v>144</v>
      </c>
      <c r="E20" s="89" t="s">
        <v>116</v>
      </c>
    </row>
    <row r="21" spans="1:5" s="37" customFormat="1" ht="15.6" x14ac:dyDescent="0.3">
      <c r="A21" s="87" t="s">
        <v>102</v>
      </c>
      <c r="B21" s="93">
        <v>9108130888086</v>
      </c>
      <c r="C21" s="93"/>
      <c r="D21" s="89" t="s">
        <v>144</v>
      </c>
      <c r="E21" s="89" t="s">
        <v>116</v>
      </c>
    </row>
    <row r="22" spans="1:5" s="37" customFormat="1" ht="15.6" x14ac:dyDescent="0.3">
      <c r="A22" s="87" t="s">
        <v>103</v>
      </c>
      <c r="B22" s="93">
        <v>9301041285084</v>
      </c>
      <c r="C22" s="93"/>
      <c r="D22" s="89" t="s">
        <v>100</v>
      </c>
      <c r="E22" s="89" t="s">
        <v>115</v>
      </c>
    </row>
    <row r="23" spans="1:5" s="37" customFormat="1" ht="15.6" x14ac:dyDescent="0.3">
      <c r="A23" s="87" t="s">
        <v>104</v>
      </c>
      <c r="B23" s="93">
        <v>8912010983086</v>
      </c>
      <c r="C23" s="93"/>
      <c r="D23" s="89" t="s">
        <v>101</v>
      </c>
      <c r="E23" s="89" t="s">
        <v>116</v>
      </c>
    </row>
    <row r="24" spans="1:5" s="37" customFormat="1" ht="15.6" x14ac:dyDescent="0.3">
      <c r="A24" s="87" t="s">
        <v>89</v>
      </c>
      <c r="B24" s="93">
        <v>8501040441080</v>
      </c>
      <c r="C24" s="93"/>
      <c r="D24" s="89" t="s">
        <v>88</v>
      </c>
      <c r="E24" s="89" t="s">
        <v>116</v>
      </c>
    </row>
    <row r="25" spans="1:5" s="37" customFormat="1" ht="15.6" x14ac:dyDescent="0.3">
      <c r="A25" s="87" t="s">
        <v>90</v>
      </c>
      <c r="B25" s="93">
        <v>9209181281088</v>
      </c>
      <c r="C25" s="93"/>
      <c r="D25" s="89" t="s">
        <v>88</v>
      </c>
      <c r="E25" s="89" t="s">
        <v>116</v>
      </c>
    </row>
    <row r="26" spans="1:5" s="37" customFormat="1" ht="15.6" x14ac:dyDescent="0.3">
      <c r="A26" s="87" t="s">
        <v>91</v>
      </c>
      <c r="B26" s="93">
        <v>8212160764083</v>
      </c>
      <c r="C26" s="93"/>
      <c r="D26" s="89" t="s">
        <v>88</v>
      </c>
      <c r="E26" s="89" t="s">
        <v>115</v>
      </c>
    </row>
    <row r="27" spans="1:5" s="37" customFormat="1" ht="15.6" x14ac:dyDescent="0.3">
      <c r="A27" s="87" t="s">
        <v>92</v>
      </c>
      <c r="B27" s="93">
        <v>8108201236083</v>
      </c>
      <c r="C27" s="93"/>
      <c r="D27" s="89" t="s">
        <v>88</v>
      </c>
      <c r="E27" s="90" t="s">
        <v>116</v>
      </c>
    </row>
    <row r="28" spans="1:5" s="37" customFormat="1" ht="15.6" x14ac:dyDescent="0.3">
      <c r="A28" s="87" t="s">
        <v>93</v>
      </c>
      <c r="B28" s="93">
        <v>7201190649084</v>
      </c>
      <c r="C28" s="93"/>
      <c r="D28" s="89" t="s">
        <v>88</v>
      </c>
      <c r="E28" s="90" t="s">
        <v>116</v>
      </c>
    </row>
    <row r="29" spans="1:5" s="37" customFormat="1" ht="15.6" x14ac:dyDescent="0.3">
      <c r="A29" s="87" t="s">
        <v>94</v>
      </c>
      <c r="B29" s="93" t="s">
        <v>107</v>
      </c>
      <c r="C29" s="93"/>
      <c r="D29" s="89" t="s">
        <v>88</v>
      </c>
      <c r="E29" s="90" t="s">
        <v>116</v>
      </c>
    </row>
    <row r="30" spans="1:5" s="37" customFormat="1" ht="15.6" x14ac:dyDescent="0.3">
      <c r="A30" s="87" t="s">
        <v>95</v>
      </c>
      <c r="B30" s="93">
        <v>8203060594084</v>
      </c>
      <c r="C30" s="93"/>
      <c r="D30" s="89" t="s">
        <v>88</v>
      </c>
      <c r="E30" s="89" t="s">
        <v>116</v>
      </c>
    </row>
    <row r="31" spans="1:5" s="37" customFormat="1" ht="15.6" x14ac:dyDescent="0.3">
      <c r="A31" s="87" t="s">
        <v>96</v>
      </c>
      <c r="B31" s="93">
        <v>8709101729083</v>
      </c>
      <c r="C31" s="93"/>
      <c r="D31" s="89" t="s">
        <v>88</v>
      </c>
      <c r="E31" s="89" t="s">
        <v>116</v>
      </c>
    </row>
    <row r="32" spans="1:5" s="37" customFormat="1" ht="15.6" x14ac:dyDescent="0.3">
      <c r="A32" s="87" t="s">
        <v>97</v>
      </c>
      <c r="B32" s="93">
        <v>8607161064088</v>
      </c>
      <c r="C32" s="93"/>
      <c r="D32" s="89" t="s">
        <v>88</v>
      </c>
      <c r="E32" s="89" t="s">
        <v>115</v>
      </c>
    </row>
    <row r="33" spans="1:5" s="37" customFormat="1" ht="15.6" x14ac:dyDescent="0.3">
      <c r="A33" s="87" t="s">
        <v>98</v>
      </c>
      <c r="B33" s="93">
        <v>96090991239088</v>
      </c>
      <c r="C33" s="93"/>
      <c r="D33" s="89" t="s">
        <v>88</v>
      </c>
      <c r="E33" s="89" t="s">
        <v>116</v>
      </c>
    </row>
    <row r="34" spans="1:5" s="37" customFormat="1" ht="15.6" x14ac:dyDescent="0.3">
      <c r="A34" s="87" t="s">
        <v>99</v>
      </c>
      <c r="B34" s="93">
        <v>7311020432088</v>
      </c>
      <c r="C34" s="93"/>
      <c r="D34" s="89" t="s">
        <v>88</v>
      </c>
      <c r="E34" s="89" t="s">
        <v>115</v>
      </c>
    </row>
    <row r="35" spans="1:5" s="37" customFormat="1" ht="15.6" x14ac:dyDescent="0.3">
      <c r="A35" s="87" t="s">
        <v>79</v>
      </c>
      <c r="B35" s="93">
        <v>9208251142089</v>
      </c>
      <c r="C35" s="93"/>
      <c r="D35" s="89" t="s">
        <v>78</v>
      </c>
      <c r="E35" s="89" t="s">
        <v>116</v>
      </c>
    </row>
    <row r="36" spans="1:5" s="37" customFormat="1" ht="15.6" x14ac:dyDescent="0.3">
      <c r="A36" s="87" t="s">
        <v>80</v>
      </c>
      <c r="B36" s="93">
        <v>8705245844085</v>
      </c>
      <c r="C36" s="93"/>
      <c r="D36" s="89" t="s">
        <v>78</v>
      </c>
      <c r="E36" s="89" t="s">
        <v>116</v>
      </c>
    </row>
    <row r="37" spans="1:5" s="37" customFormat="1" ht="15.6" x14ac:dyDescent="0.3">
      <c r="A37" s="87" t="s">
        <v>72</v>
      </c>
      <c r="B37" s="93">
        <v>7304041326082</v>
      </c>
      <c r="C37" s="93"/>
      <c r="D37" s="89" t="s">
        <v>71</v>
      </c>
      <c r="E37" s="89" t="s">
        <v>116</v>
      </c>
    </row>
    <row r="38" spans="1:5" s="37" customFormat="1" ht="15.6" x14ac:dyDescent="0.3">
      <c r="A38" s="87" t="s">
        <v>73</v>
      </c>
      <c r="B38" s="93">
        <v>9703270988082</v>
      </c>
      <c r="C38" s="93"/>
      <c r="D38" s="89" t="s">
        <v>71</v>
      </c>
      <c r="E38" s="89" t="s">
        <v>116</v>
      </c>
    </row>
    <row r="39" spans="1:5" s="37" customFormat="1" ht="15.6" x14ac:dyDescent="0.3">
      <c r="A39" s="87" t="s">
        <v>74</v>
      </c>
      <c r="B39" s="93">
        <v>9111191057088</v>
      </c>
      <c r="C39" s="93"/>
      <c r="D39" s="89" t="s">
        <v>71</v>
      </c>
      <c r="E39" s="89" t="s">
        <v>116</v>
      </c>
    </row>
    <row r="40" spans="1:5" s="37" customFormat="1" ht="15.6" x14ac:dyDescent="0.3">
      <c r="A40" s="87" t="s">
        <v>75</v>
      </c>
      <c r="B40" s="93">
        <v>8107300402083</v>
      </c>
      <c r="C40" s="93"/>
      <c r="D40" s="89" t="s">
        <v>71</v>
      </c>
      <c r="E40" s="89" t="s">
        <v>116</v>
      </c>
    </row>
    <row r="41" spans="1:5" s="37" customFormat="1" ht="15.6" x14ac:dyDescent="0.3">
      <c r="A41" s="87" t="s">
        <v>76</v>
      </c>
      <c r="B41" s="93">
        <v>8506131200089</v>
      </c>
      <c r="C41" s="93"/>
      <c r="D41" s="89" t="s">
        <v>71</v>
      </c>
      <c r="E41" s="89" t="s">
        <v>115</v>
      </c>
    </row>
    <row r="42" spans="1:5" s="37" customFormat="1" ht="15.6" x14ac:dyDescent="0.3">
      <c r="A42" s="87" t="s">
        <v>77</v>
      </c>
      <c r="B42" s="93">
        <v>9408060764087</v>
      </c>
      <c r="C42" s="93"/>
      <c r="D42" s="89" t="s">
        <v>71</v>
      </c>
      <c r="E42" s="89" t="s">
        <v>116</v>
      </c>
    </row>
    <row r="43" spans="1:5" s="37" customFormat="1" ht="15.6" x14ac:dyDescent="0.3">
      <c r="A43" s="87" t="s">
        <v>109</v>
      </c>
      <c r="B43" s="93">
        <v>8807150575082</v>
      </c>
      <c r="C43" s="93"/>
      <c r="D43" s="89" t="s">
        <v>71</v>
      </c>
      <c r="E43" s="89" t="s">
        <v>116</v>
      </c>
    </row>
    <row r="44" spans="1:5" s="37" customFormat="1" ht="15.6" x14ac:dyDescent="0.3">
      <c r="A44" s="87" t="s">
        <v>63</v>
      </c>
      <c r="B44" s="93">
        <v>9307190984088</v>
      </c>
      <c r="C44" s="93"/>
      <c r="D44" s="89" t="s">
        <v>66</v>
      </c>
      <c r="E44" s="89" t="s">
        <v>116</v>
      </c>
    </row>
    <row r="45" spans="1:5" s="37" customFormat="1" ht="15.6" x14ac:dyDescent="0.3">
      <c r="A45" s="87" t="s">
        <v>64</v>
      </c>
      <c r="B45" s="93">
        <v>9601076110085</v>
      </c>
      <c r="C45" s="93"/>
      <c r="D45" s="89" t="s">
        <v>66</v>
      </c>
      <c r="E45" s="89" t="s">
        <v>116</v>
      </c>
    </row>
    <row r="46" spans="1:5" s="37" customFormat="1" ht="15.6" x14ac:dyDescent="0.3">
      <c r="A46" s="87" t="s">
        <v>65</v>
      </c>
      <c r="B46" s="93">
        <v>8908061065088</v>
      </c>
      <c r="C46" s="93"/>
      <c r="D46" s="89" t="s">
        <v>66</v>
      </c>
      <c r="E46" s="89" t="s">
        <v>116</v>
      </c>
    </row>
    <row r="47" spans="1:5" s="37" customFormat="1" ht="15.6" x14ac:dyDescent="0.3">
      <c r="A47" s="87" t="s">
        <v>62</v>
      </c>
      <c r="B47" s="93">
        <v>8110281089085</v>
      </c>
      <c r="C47" s="93"/>
      <c r="D47" s="88" t="s">
        <v>61</v>
      </c>
      <c r="E47" s="89" t="s">
        <v>116</v>
      </c>
    </row>
    <row r="48" spans="1:5" s="37" customFormat="1" ht="15.6" x14ac:dyDescent="0.3">
      <c r="A48" s="87" t="s">
        <v>108</v>
      </c>
      <c r="B48" s="93">
        <v>7205105207086</v>
      </c>
      <c r="C48" s="93"/>
      <c r="D48" s="89" t="s">
        <v>61</v>
      </c>
      <c r="E48" s="89" t="s">
        <v>116</v>
      </c>
    </row>
    <row r="49" spans="1:5" s="37" customFormat="1" ht="15.6" x14ac:dyDescent="0.3">
      <c r="A49" s="87" t="s">
        <v>55</v>
      </c>
      <c r="B49" s="93">
        <v>7406040339089</v>
      </c>
      <c r="C49" s="93"/>
      <c r="D49" s="88" t="s">
        <v>60</v>
      </c>
      <c r="E49" s="89" t="s">
        <v>116</v>
      </c>
    </row>
    <row r="50" spans="1:5" s="37" customFormat="1" ht="15.6" x14ac:dyDescent="0.3">
      <c r="A50" s="87" t="s">
        <v>56</v>
      </c>
      <c r="B50" s="93">
        <v>8606060763089</v>
      </c>
      <c r="C50" s="93"/>
      <c r="D50" s="88" t="s">
        <v>60</v>
      </c>
      <c r="E50" s="89" t="s">
        <v>116</v>
      </c>
    </row>
    <row r="51" spans="1:5" s="37" customFormat="1" ht="15.6" x14ac:dyDescent="0.3">
      <c r="A51" s="87" t="s">
        <v>57</v>
      </c>
      <c r="B51" s="93">
        <v>8212166424088</v>
      </c>
      <c r="C51" s="93"/>
      <c r="D51" s="88" t="s">
        <v>60</v>
      </c>
      <c r="E51" s="89" t="s">
        <v>116</v>
      </c>
    </row>
    <row r="52" spans="1:5" s="37" customFormat="1" ht="15.6" x14ac:dyDescent="0.3">
      <c r="A52" s="87" t="s">
        <v>58</v>
      </c>
      <c r="B52" s="93">
        <v>7102026505088</v>
      </c>
      <c r="C52" s="93"/>
      <c r="D52" s="88" t="s">
        <v>60</v>
      </c>
      <c r="E52" s="89" t="s">
        <v>116</v>
      </c>
    </row>
    <row r="53" spans="1:5" s="37" customFormat="1" ht="15.6" x14ac:dyDescent="0.3">
      <c r="A53" s="87" t="s">
        <v>59</v>
      </c>
      <c r="B53" s="93">
        <v>8501200776085</v>
      </c>
      <c r="C53" s="93"/>
      <c r="D53" s="88" t="s">
        <v>60</v>
      </c>
      <c r="E53" s="89" t="s">
        <v>116</v>
      </c>
    </row>
    <row r="54" spans="1:5" s="37" customFormat="1" ht="15.6" x14ac:dyDescent="0.3">
      <c r="A54" s="87" t="s">
        <v>110</v>
      </c>
      <c r="B54" s="93">
        <v>6911035614082</v>
      </c>
      <c r="C54" s="93"/>
      <c r="D54" s="89" t="s">
        <v>60</v>
      </c>
      <c r="E54" s="89" t="s">
        <v>115</v>
      </c>
    </row>
    <row r="55" spans="1:5" s="37" customFormat="1" ht="15.6" x14ac:dyDescent="0.3">
      <c r="A55" s="87" t="s">
        <v>112</v>
      </c>
      <c r="B55" s="93">
        <v>7101066063088</v>
      </c>
      <c r="C55" s="93"/>
      <c r="D55" s="89" t="s">
        <v>60</v>
      </c>
      <c r="E55" s="89" t="s">
        <v>116</v>
      </c>
    </row>
    <row r="56" spans="1:5" s="37" customFormat="1" ht="15.6" x14ac:dyDescent="0.3">
      <c r="A56" s="87" t="s">
        <v>81</v>
      </c>
      <c r="B56" s="93">
        <v>8410251019082</v>
      </c>
      <c r="C56" s="93"/>
      <c r="D56" s="89" t="s">
        <v>21</v>
      </c>
      <c r="E56" s="89" t="s">
        <v>116</v>
      </c>
    </row>
    <row r="57" spans="1:5" s="37" customFormat="1" ht="15.6" x14ac:dyDescent="0.3">
      <c r="A57" s="87" t="s">
        <v>82</v>
      </c>
      <c r="B57" s="93">
        <v>8503301044082</v>
      </c>
      <c r="C57" s="93"/>
      <c r="D57" s="89" t="s">
        <v>21</v>
      </c>
      <c r="E57" s="89" t="s">
        <v>115</v>
      </c>
    </row>
    <row r="58" spans="1:5" s="37" customFormat="1" ht="15.6" x14ac:dyDescent="0.3">
      <c r="A58" s="87" t="s">
        <v>83</v>
      </c>
      <c r="B58" s="93">
        <v>9012310999087</v>
      </c>
      <c r="C58" s="93"/>
      <c r="D58" s="89" t="s">
        <v>21</v>
      </c>
      <c r="E58" s="89" t="s">
        <v>116</v>
      </c>
    </row>
    <row r="59" spans="1:5" s="37" customFormat="1" ht="15.6" x14ac:dyDescent="0.3">
      <c r="A59" s="87" t="s">
        <v>84</v>
      </c>
      <c r="B59" s="93">
        <v>7406300600089</v>
      </c>
      <c r="C59" s="93"/>
      <c r="D59" s="89" t="s">
        <v>21</v>
      </c>
      <c r="E59" s="89" t="s">
        <v>116</v>
      </c>
    </row>
    <row r="60" spans="1:5" s="37" customFormat="1" ht="15.6" x14ac:dyDescent="0.3">
      <c r="A60" s="87" t="s">
        <v>85</v>
      </c>
      <c r="B60" s="93">
        <v>9711265641087</v>
      </c>
      <c r="C60" s="93"/>
      <c r="D60" s="89" t="s">
        <v>21</v>
      </c>
      <c r="E60" s="89" t="s">
        <v>116</v>
      </c>
    </row>
    <row r="61" spans="1:5" s="37" customFormat="1" ht="15.6" x14ac:dyDescent="0.3">
      <c r="A61" s="87" t="s">
        <v>86</v>
      </c>
      <c r="B61" s="93">
        <v>8108045950089</v>
      </c>
      <c r="C61" s="93"/>
      <c r="D61" s="89" t="s">
        <v>21</v>
      </c>
      <c r="E61" s="89" t="s">
        <v>116</v>
      </c>
    </row>
    <row r="62" spans="1:5" s="37" customFormat="1" ht="15.6" x14ac:dyDescent="0.3">
      <c r="A62" s="87" t="s">
        <v>87</v>
      </c>
      <c r="B62" s="93">
        <v>9201196003086</v>
      </c>
      <c r="C62" s="93"/>
      <c r="D62" s="89" t="s">
        <v>21</v>
      </c>
      <c r="E62" s="89" t="s">
        <v>116</v>
      </c>
    </row>
    <row r="63" spans="1:5" s="37" customFormat="1" ht="15.6" x14ac:dyDescent="0.3">
      <c r="A63" s="87" t="s">
        <v>113</v>
      </c>
      <c r="B63" s="93">
        <v>9212140363088</v>
      </c>
      <c r="C63" s="93"/>
      <c r="D63" s="89" t="s">
        <v>21</v>
      </c>
      <c r="E63" s="89" t="s">
        <v>116</v>
      </c>
    </row>
    <row r="64" spans="1:5" s="37" customFormat="1" ht="15.6" x14ac:dyDescent="0.3">
      <c r="A64" s="87" t="s">
        <v>147</v>
      </c>
      <c r="B64" s="92" t="s">
        <v>150</v>
      </c>
      <c r="C64" s="91"/>
      <c r="D64" s="89" t="s">
        <v>148</v>
      </c>
      <c r="E64" s="89" t="s">
        <v>149</v>
      </c>
    </row>
    <row r="65" spans="1:5" s="37" customFormat="1" ht="15.6" x14ac:dyDescent="0.3">
      <c r="A65" s="87" t="s">
        <v>151</v>
      </c>
      <c r="B65" s="93">
        <v>8810195855089</v>
      </c>
      <c r="C65" s="93"/>
      <c r="D65" s="89" t="s">
        <v>148</v>
      </c>
      <c r="E65" s="89" t="s">
        <v>149</v>
      </c>
    </row>
    <row r="66" spans="1:5" ht="14.4" x14ac:dyDescent="0.3">
      <c r="A66" s="73"/>
      <c r="B66" s="73"/>
      <c r="C66" s="73"/>
      <c r="D66" s="74"/>
      <c r="E66" s="74"/>
    </row>
    <row r="67" spans="1:5" x14ac:dyDescent="0.25">
      <c r="A67" s="24" t="s">
        <v>140</v>
      </c>
      <c r="B67" s="24"/>
      <c r="C67" s="24"/>
      <c r="D67" s="97" t="s">
        <v>33</v>
      </c>
      <c r="E67" s="97"/>
    </row>
    <row r="68" spans="1:5" ht="32.4" customHeight="1" x14ac:dyDescent="0.25">
      <c r="A68" s="99"/>
      <c r="B68" s="99"/>
      <c r="C68" s="14"/>
      <c r="D68" s="99"/>
      <c r="E68" s="99"/>
    </row>
    <row r="69" spans="1:5" x14ac:dyDescent="0.25">
      <c r="A69" s="14" t="s">
        <v>141</v>
      </c>
      <c r="B69" s="14"/>
      <c r="C69" s="14"/>
      <c r="D69" s="100" t="s">
        <v>141</v>
      </c>
      <c r="E69" s="100"/>
    </row>
    <row r="70" spans="1:5" ht="27" customHeight="1" x14ac:dyDescent="0.25">
      <c r="A70" s="98" t="str">
        <f ca="1">'Invoice - Region 2'!H4</f>
        <v>30 July 2026</v>
      </c>
      <c r="B70" s="98"/>
      <c r="C70" s="69"/>
      <c r="D70" s="96"/>
      <c r="E70" s="96"/>
    </row>
    <row r="71" spans="1:5" x14ac:dyDescent="0.25">
      <c r="A71" s="24" t="s">
        <v>131</v>
      </c>
      <c r="B71" s="24"/>
      <c r="C71" s="24"/>
      <c r="D71" s="97" t="s">
        <v>131</v>
      </c>
      <c r="E71" s="97"/>
    </row>
    <row r="72" spans="1:5" x14ac:dyDescent="0.25">
      <c r="A72" s="24"/>
      <c r="B72" s="24"/>
      <c r="C72" s="24"/>
      <c r="D72" s="24"/>
      <c r="E72" s="24"/>
    </row>
  </sheetData>
  <sortState xmlns:xlrd2="http://schemas.microsoft.com/office/spreadsheetml/2017/richdata2" ref="A4:D65">
    <sortCondition ref="D4:D65"/>
  </sortState>
  <mergeCells count="71">
    <mergeCell ref="A1:C1"/>
    <mergeCell ref="D1:E1"/>
    <mergeCell ref="D70:E70"/>
    <mergeCell ref="D71:E71"/>
    <mergeCell ref="A70:B70"/>
    <mergeCell ref="A68:B68"/>
    <mergeCell ref="D67:E67"/>
    <mergeCell ref="D68:E68"/>
    <mergeCell ref="D69:E69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0:C60"/>
    <mergeCell ref="B61:C61"/>
    <mergeCell ref="B63:C63"/>
    <mergeCell ref="B65:C65"/>
    <mergeCell ref="B55:C55"/>
    <mergeCell ref="B56:C56"/>
    <mergeCell ref="B57:C57"/>
    <mergeCell ref="B58:C58"/>
    <mergeCell ref="B59:C59"/>
    <mergeCell ref="B62:C62"/>
  </mergeCells>
  <phoneticPr fontId="11" type="noConversion"/>
  <pageMargins left="0.7" right="0.7" top="1.542" bottom="0.75" header="0.3" footer="0.3"/>
  <pageSetup paperSize="9" scale="80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4" max="4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e1fb217-3513-4a84-b39a-87d8fab7c42d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2</vt:lpstr>
      <vt:lpstr>Service Notes</vt:lpstr>
      <vt:lpstr>Clearning Schedule</vt:lpstr>
      <vt:lpstr>EPWP Employees</vt:lpstr>
      <vt:lpstr>'Clearning Schedule'!Print_Area</vt:lpstr>
      <vt:lpstr>'EPWP Employees'!Print_Area</vt:lpstr>
      <vt:lpstr>'Invoice -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2026-05-20T09:02:02Z</cp:lastPrinted>
  <dcterms:created xsi:type="dcterms:W3CDTF">2015-06-05T18:17:20Z</dcterms:created>
  <dcterms:modified xsi:type="dcterms:W3CDTF">2026-07-27T11:22:24Z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