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sithembe.sharepoint.com/sites/accounting9/Shared Documents/02 - Projects/01 Invoices/01 STP/05 May/03 - HS 02 2025-26/02 Region 5/"/>
    </mc:Choice>
  </mc:AlternateContent>
  <xr:revisionPtr revIDLastSave="436" documentId="8_{7706A868-A029-494B-9320-4A43019CD945}" xr6:coauthVersionLast="47" xr6:coauthVersionMax="47" xr10:uidLastSave="{0AB27725-2E66-4F8E-842F-E90F9E0DD4C6}"/>
  <bookViews>
    <workbookView xWindow="-108" yWindow="-108" windowWidth="23256" windowHeight="13896" tabRatio="870" activeTab="3" xr2:uid="{00000000-000D-0000-FFFF-FFFF00000000}"/>
  </bookViews>
  <sheets>
    <sheet name="Invoice - Region 5" sheetId="14" r:id="rId1"/>
    <sheet name="Service Notes" sheetId="23" r:id="rId2"/>
    <sheet name="Clearning Schedule" sheetId="24" r:id="rId3"/>
    <sheet name="Employee List" sheetId="25" r:id="rId4"/>
  </sheets>
  <definedNames>
    <definedName name="_xlnm.Print_Area" localSheetId="2">'Clearning Schedule'!$A$1:$D$18</definedName>
    <definedName name="_xlnm.Print_Area" localSheetId="3">'Employee List'!$A$1:$E$19</definedName>
    <definedName name="_xlnm.Print_Area" localSheetId="0">'Invoice - Region 5'!$A$1:$H$43</definedName>
    <definedName name="_xlnm.Print_Area" localSheetId="1">'Service Notes'!$A$1:$M$19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5" l="1"/>
  <c r="D21" i="14" l="1"/>
  <c r="D22" i="14" s="1"/>
  <c r="D23" i="14" s="1"/>
  <c r="A18" i="23"/>
  <c r="M10" i="23"/>
  <c r="M11" i="23"/>
  <c r="M9" i="23"/>
  <c r="D5" i="25"/>
  <c r="D6" i="25" s="1"/>
  <c r="C8" i="24"/>
  <c r="A17" i="25" l="1"/>
  <c r="A16" i="24"/>
  <c r="A5" i="24"/>
  <c r="A6" i="24"/>
  <c r="A4" i="24"/>
  <c r="C10" i="23"/>
  <c r="C11" i="23"/>
  <c r="C9" i="23"/>
  <c r="F22" i="14"/>
  <c r="G22" i="14" s="1"/>
  <c r="F23" i="14"/>
  <c r="G23" i="14" s="1"/>
  <c r="F21" i="14"/>
  <c r="G21" i="14" s="1"/>
  <c r="E22" i="14"/>
  <c r="E23" i="14"/>
  <c r="E21" i="14"/>
  <c r="A10" i="23"/>
  <c r="A11" i="23"/>
  <c r="A9" i="23"/>
  <c r="C26" i="14"/>
  <c r="G24" i="14"/>
  <c r="E24" i="14"/>
  <c r="D24" i="14"/>
  <c r="E26" i="14" l="1"/>
  <c r="G26" i="14"/>
  <c r="H22" i="14"/>
  <c r="A39" i="14"/>
  <c r="H26" i="14" l="1"/>
  <c r="H21" i="14"/>
  <c r="H23" i="14"/>
  <c r="H27" i="14" l="1"/>
  <c r="H28" i="14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<sst xmlns="http://schemas.openxmlformats.org/spreadsheetml/2006/main" count="115" uniqueCount="80">
  <si>
    <t>Date:</t>
  </si>
  <si>
    <t>Signature:</t>
  </si>
  <si>
    <t>Tel: 012 880 3155  |  Cell: 073 124 1535  |  Fax: 086 603 7935</t>
  </si>
  <si>
    <t>Invoice Date:</t>
  </si>
  <si>
    <t>Service Period:</t>
  </si>
  <si>
    <t>Tax Invoice No:</t>
  </si>
  <si>
    <t>BILL TO:</t>
  </si>
  <si>
    <t>Region:</t>
  </si>
  <si>
    <t>#</t>
  </si>
  <si>
    <t>Qty
(Units)</t>
  </si>
  <si>
    <t>Days in
Period</t>
  </si>
  <si>
    <t>No of
Services</t>
  </si>
  <si>
    <t>BANKING DETAILS</t>
  </si>
  <si>
    <t>VAT @ 15%</t>
  </si>
  <si>
    <t>SERVICE</t>
  </si>
  <si>
    <t>SUB TOTALS</t>
  </si>
  <si>
    <t>TOWNSHIP / INFORMAL SETTLEMENT</t>
  </si>
  <si>
    <t>Account Holder: Sithembe Transportation and Projects (Pty) Ltd</t>
  </si>
  <si>
    <t>Bank: Nedbank Limited</t>
  </si>
  <si>
    <t>Branch Code: 198765</t>
  </si>
  <si>
    <t>Service Provider Signature:</t>
  </si>
  <si>
    <t>City of Tshwane Official:</t>
  </si>
  <si>
    <t>Reg No: 2013/029173/07 |  www.sithembe.co.za</t>
  </si>
  <si>
    <t>SITHEMBE TRANSPORTATION &amp; PROJECTS</t>
  </si>
  <si>
    <t>Sub Totals</t>
  </si>
  <si>
    <t>Gross Total</t>
  </si>
  <si>
    <t>Email: accounts@sithembe.co.za  |  info@sithembe.co.za</t>
  </si>
  <si>
    <t>RENTALS &amp; RELOCATIONS</t>
  </si>
  <si>
    <t>Tax Invoice</t>
  </si>
  <si>
    <t>Rental Amount
R11.50</t>
  </si>
  <si>
    <t>Service Amount
R96.50</t>
  </si>
  <si>
    <t>Contract Ref: HS 02-2025/26</t>
  </si>
  <si>
    <t>City of Tshwane</t>
  </si>
  <si>
    <t>PO Box 6338</t>
  </si>
  <si>
    <t>Pretoria</t>
  </si>
  <si>
    <t>0001</t>
  </si>
  <si>
    <t>Tel: 012 358 3368</t>
  </si>
  <si>
    <t>City of Thswane</t>
  </si>
  <si>
    <t>Hiring and Servicing of chemical toilets</t>
  </si>
  <si>
    <t>HS 02-2025/26</t>
  </si>
  <si>
    <t>Date</t>
  </si>
  <si>
    <t>No of 
Service</t>
  </si>
  <si>
    <t>VAToilet Number: 4070272101 | Vendor No: 101776</t>
  </si>
  <si>
    <t>AccounToilet Number: 1323687157</t>
  </si>
  <si>
    <t>TUESDAY</t>
  </si>
  <si>
    <t>FRIDAY</t>
  </si>
  <si>
    <t>Informal Settlement Area</t>
  </si>
  <si>
    <t>No of Toilets</t>
  </si>
  <si>
    <t>Weekly Cleaning Dates</t>
  </si>
  <si>
    <t>Service Provider Official:</t>
  </si>
  <si>
    <t>Signature</t>
  </si>
  <si>
    <t>Tuesday &amp; Friday</t>
  </si>
  <si>
    <t>Region 5</t>
  </si>
  <si>
    <t>VAT Number: 4000142267</t>
  </si>
  <si>
    <t>Weekly Cleaning Schedule</t>
  </si>
  <si>
    <t>EPWP Employee List</t>
  </si>
  <si>
    <t>FULLNAME</t>
  </si>
  <si>
    <t>ID NUMBER</t>
  </si>
  <si>
    <t>LOCATION</t>
  </si>
  <si>
    <t>POSITION</t>
  </si>
  <si>
    <t>DAVID TSWAI</t>
  </si>
  <si>
    <t>CO-ORDINATOR</t>
  </si>
  <si>
    <t>NONDUMISA MDAKANE</t>
  </si>
  <si>
    <t>CLEANER</t>
  </si>
  <si>
    <t>BRANDY MOTHWA</t>
  </si>
  <si>
    <t>THEMBINKOSI MAGAGULA</t>
  </si>
  <si>
    <t>PROMISE LEHLAE</t>
  </si>
  <si>
    <t>Service Notes - Pump &amp; Clean</t>
  </si>
  <si>
    <t>Total Number of Toilets</t>
  </si>
  <si>
    <t>Wallmansthall Berlin</t>
  </si>
  <si>
    <t>STP-INV-26-0377</t>
  </si>
  <si>
    <t>SIZWE MAHLANGU</t>
  </si>
  <si>
    <t>DRIVER</t>
  </si>
  <si>
    <t>JULY CHABANGU</t>
  </si>
  <si>
    <t>0107015422085</t>
  </si>
  <si>
    <t>26 April 2026 - 25 May 2026</t>
  </si>
  <si>
    <t>Service Notes (From 26 April 2026 - 25 May 2026)</t>
  </si>
  <si>
    <t>Rayton Plot 121</t>
  </si>
  <si>
    <t>Pienaarspoort Ext 22</t>
  </si>
  <si>
    <t>PIENAASPOORT EXT 22 &amp; RAYTON PLOT 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</si>
</sst>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&quot;* #,##0.00_-;\-&quot;R&quot;* #,##0.00_-;_-&quot;R&quot;* &quot;-&quot;??_-;_-@_-"/>
    <numFmt numFmtId="164" formatCode="[$R-1C09]#,##0.00"/>
    <numFmt numFmtId="165" formatCode="_-[$R-1C09]* #,##0.00_-;\-[$R-1C09]* #,##0.00_-;_-[$R-1C09]* &quot;-&quot;??_-;_-@_-"/>
    <numFmt numFmtId="166" formatCode="[$-1C09]dd/mmmm/yyyy;@"/>
    <numFmt numFmtId="167" formatCode="[$-1C09]dd\ mmmm\ yyyy;@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5"/>
      <color rgb="FFFFFFFF"/>
      <name val="Arial"/>
      <family val="2"/>
    </font>
    <font>
      <b/>
      <sz val="8"/>
      <color rgb="FFFFFFFF"/>
      <name val="Arial"/>
      <family val="2"/>
    </font>
    <font>
      <sz val="8"/>
      <color rgb="FF7F8C8D"/>
      <name val="Arial"/>
      <family val="2"/>
    </font>
    <font>
      <sz val="8"/>
      <name val="Calibri"/>
      <family val="2"/>
      <scheme val="minor"/>
    </font>
    <font>
      <sz val="9"/>
      <color rgb="FF1C2833"/>
      <name val="Arial"/>
      <family val="2"/>
    </font>
    <font>
      <sz val="8"/>
      <color rgb="FF008000"/>
      <name val="Arial"/>
      <family val="2"/>
    </font>
    <font>
      <sz val="8"/>
      <color rgb="FF000000"/>
      <name val="Arial"/>
      <family val="2"/>
    </font>
    <font>
      <sz val="9"/>
      <color rgb="FF1A5276"/>
      <name val="Arial"/>
      <family val="2"/>
    </font>
    <font>
      <sz val="9"/>
      <color rgb="FF00800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8"/>
      <color rgb="FF7F8C8D"/>
      <name val="Arial"/>
      <family val="2"/>
    </font>
    <font>
      <b/>
      <sz val="10"/>
      <color rgb="FFFFFFFF"/>
      <name val="Arial"/>
      <family val="2"/>
    </font>
    <font>
      <b/>
      <sz val="10"/>
      <color theme="0"/>
      <name val="Calibri"/>
      <family val="2"/>
      <scheme val="minor"/>
    </font>
    <font>
      <b/>
      <sz val="8"/>
      <color theme="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rgb="FF000000"/>
      <name val="Arial"/>
      <family val="2"/>
    </font>
    <font>
      <b/>
      <sz val="18"/>
      <color theme="0"/>
      <name val="Arial"/>
      <family val="2"/>
    </font>
    <font>
      <b/>
      <sz val="8"/>
      <color theme="1" tint="0.249977111117893"/>
      <name val="Arial"/>
      <family val="2"/>
    </font>
    <font>
      <b/>
      <sz val="15"/>
      <color rgb="FFFFFFFF"/>
      <name val="Arial"/>
      <family val="2"/>
    </font>
    <font>
      <b/>
      <sz val="10"/>
      <color rgb="FFE8820C"/>
      <name val="Arial"/>
      <family val="2"/>
    </font>
    <font>
      <sz val="9"/>
      <color theme="0" tint="-0.499984740745262"/>
      <name val="Arial"/>
      <family val="2"/>
    </font>
    <font>
      <b/>
      <sz val="8"/>
      <color rgb="FF7F8C8D"/>
      <name val="Arial"/>
      <family val="2"/>
    </font>
    <font>
      <i/>
      <sz val="10"/>
      <color rgb="FF7F8C8D"/>
      <name val="Arial"/>
      <family val="2"/>
    </font>
    <font>
      <b/>
      <sz val="9"/>
      <color theme="0" tint="-0.499984740745262"/>
      <name val="Arial"/>
      <family val="2"/>
    </font>
    <font>
      <b/>
      <sz val="12"/>
      <color theme="1"/>
      <name val="Aptos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1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E8820C"/>
        <bgColor rgb="FFFF6600"/>
      </patternFill>
    </fill>
    <fill>
      <patternFill patternType="solid">
        <fgColor rgb="FFFFFFFF"/>
        <bgColor rgb="FFFFFDE7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1C2833"/>
      </patternFill>
    </fill>
    <fill>
      <patternFill patternType="solid">
        <fgColor theme="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17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right"/>
    </xf>
    <xf numFmtId="165" fontId="1" fillId="0" borderId="0" xfId="0" applyNumberFormat="1" applyFont="1"/>
    <xf numFmtId="0" fontId="5" fillId="0" borderId="0" xfId="0" applyFont="1"/>
    <xf numFmtId="164" fontId="0" fillId="0" borderId="0" xfId="0" applyNumberFormat="1"/>
    <xf numFmtId="0" fontId="5" fillId="0" borderId="0" xfId="0" applyFont="1" applyAlignment="1">
      <alignment horizontal="left"/>
    </xf>
    <xf numFmtId="0" fontId="0" fillId="0" borderId="0" xfId="0" quotePrefix="1"/>
    <xf numFmtId="0" fontId="0" fillId="2" borderId="0" xfId="0" applyFill="1"/>
    <xf numFmtId="0" fontId="9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44" fontId="1" fillId="0" borderId="0" xfId="0" applyNumberFormat="1" applyFont="1"/>
    <xf numFmtId="0" fontId="19" fillId="0" borderId="0" xfId="0" applyFont="1"/>
    <xf numFmtId="0" fontId="20" fillId="0" borderId="0" xfId="0" applyFont="1" applyAlignment="1">
      <alignment vertical="center"/>
    </xf>
    <xf numFmtId="0" fontId="19" fillId="0" borderId="1" xfId="0" applyFont="1" applyBorder="1"/>
    <xf numFmtId="0" fontId="26" fillId="0" borderId="0" xfId="0" applyFont="1"/>
    <xf numFmtId="0" fontId="28" fillId="0" borderId="0" xfId="0" applyFont="1" applyAlignment="1">
      <alignment vertical="center"/>
    </xf>
    <xf numFmtId="0" fontId="24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166" fontId="24" fillId="0" borderId="0" xfId="0" applyNumberFormat="1" applyFont="1" applyAlignment="1">
      <alignment horizontal="right" vertical="center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vertical="center"/>
    </xf>
    <xf numFmtId="0" fontId="19" fillId="0" borderId="0" xfId="0" applyFont="1" applyAlignment="1">
      <alignment vertical="top"/>
    </xf>
    <xf numFmtId="0" fontId="25" fillId="4" borderId="0" xfId="0" applyFont="1" applyFill="1"/>
    <xf numFmtId="0" fontId="7" fillId="4" borderId="0" xfId="0" applyFont="1" applyFill="1"/>
    <xf numFmtId="1" fontId="7" fillId="4" borderId="5" xfId="0" applyNumberFormat="1" applyFont="1" applyFill="1" applyBorder="1"/>
    <xf numFmtId="0" fontId="7" fillId="4" borderId="5" xfId="0" applyFont="1" applyFill="1" applyBorder="1"/>
    <xf numFmtId="44" fontId="7" fillId="4" borderId="5" xfId="1" applyFont="1" applyFill="1" applyBorder="1"/>
    <xf numFmtId="44" fontId="7" fillId="4" borderId="5" xfId="0" applyNumberFormat="1" applyFont="1" applyFill="1" applyBorder="1"/>
    <xf numFmtId="44" fontId="27" fillId="6" borderId="5" xfId="0" applyNumberFormat="1" applyFont="1" applyFill="1" applyBorder="1"/>
    <xf numFmtId="165" fontId="24" fillId="0" borderId="0" xfId="0" applyNumberFormat="1" applyFont="1" applyAlignment="1">
      <alignment horizontal="right" vertical="center"/>
    </xf>
    <xf numFmtId="44" fontId="0" fillId="0" borderId="0" xfId="0" applyNumberFormat="1"/>
    <xf numFmtId="0" fontId="10" fillId="0" borderId="0" xfId="0" applyFont="1" applyAlignment="1">
      <alignment vertical="center"/>
    </xf>
    <xf numFmtId="1" fontId="0" fillId="0" borderId="0" xfId="0" applyNumberFormat="1" applyAlignment="1">
      <alignment horizontal="center"/>
    </xf>
    <xf numFmtId="166" fontId="35" fillId="0" borderId="0" xfId="0" applyNumberFormat="1" applyFont="1"/>
    <xf numFmtId="166" fontId="0" fillId="0" borderId="0" xfId="0" applyNumberFormat="1" applyAlignment="1">
      <alignment horizontal="center" vertical="center"/>
    </xf>
    <xf numFmtId="0" fontId="27" fillId="0" borderId="5" xfId="0" applyFont="1" applyBorder="1"/>
    <xf numFmtId="0" fontId="22" fillId="4" borderId="9" xfId="0" applyFont="1" applyFill="1" applyBorder="1" applyAlignment="1">
      <alignment horizontal="center" vertical="center" wrapText="1"/>
    </xf>
    <xf numFmtId="166" fontId="19" fillId="0" borderId="0" xfId="0" applyNumberFormat="1" applyFont="1" applyAlignment="1">
      <alignment horizontal="left"/>
    </xf>
    <xf numFmtId="0" fontId="37" fillId="0" borderId="0" xfId="0" applyFont="1" applyAlignment="1">
      <alignment horizontal="left"/>
    </xf>
    <xf numFmtId="166" fontId="35" fillId="0" borderId="0" xfId="0" applyNumberFormat="1" applyFont="1" applyAlignment="1">
      <alignment horizontal="left"/>
    </xf>
    <xf numFmtId="0" fontId="14" fillId="0" borderId="11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1" fontId="15" fillId="0" borderId="11" xfId="0" applyNumberFormat="1" applyFont="1" applyBorder="1" applyAlignment="1">
      <alignment horizontal="center" vertical="center"/>
    </xf>
    <xf numFmtId="1" fontId="16" fillId="0" borderId="11" xfId="0" applyNumberFormat="1" applyFont="1" applyBorder="1" applyAlignment="1">
      <alignment horizontal="center" vertical="center"/>
    </xf>
    <xf numFmtId="44" fontId="17" fillId="0" borderId="11" xfId="1" applyFont="1" applyFill="1" applyBorder="1" applyAlignment="1">
      <alignment horizontal="right" vertical="center"/>
    </xf>
    <xf numFmtId="44" fontId="18" fillId="0" borderId="11" xfId="1" applyFont="1" applyFill="1" applyBorder="1" applyAlignment="1">
      <alignment horizontal="right" vertical="center"/>
    </xf>
    <xf numFmtId="0" fontId="15" fillId="3" borderId="11" xfId="0" applyFont="1" applyFill="1" applyBorder="1" applyAlignment="1">
      <alignment horizontal="left" vertical="center"/>
    </xf>
    <xf numFmtId="1" fontId="15" fillId="3" borderId="11" xfId="0" applyNumberFormat="1" applyFont="1" applyFill="1" applyBorder="1" applyAlignment="1">
      <alignment horizontal="center" vertical="center"/>
    </xf>
    <xf numFmtId="1" fontId="16" fillId="3" borderId="11" xfId="0" applyNumberFormat="1" applyFont="1" applyFill="1" applyBorder="1" applyAlignment="1">
      <alignment horizontal="center" vertical="center"/>
    </xf>
    <xf numFmtId="4" fontId="17" fillId="3" borderId="11" xfId="0" applyNumberFormat="1" applyFont="1" applyFill="1" applyBorder="1" applyAlignment="1">
      <alignment horizontal="right" vertical="center"/>
    </xf>
    <xf numFmtId="4" fontId="18" fillId="3" borderId="11" xfId="0" applyNumberFormat="1" applyFont="1" applyFill="1" applyBorder="1" applyAlignment="1">
      <alignment horizontal="right" vertical="center"/>
    </xf>
    <xf numFmtId="0" fontId="0" fillId="0" borderId="11" xfId="0" applyBorder="1"/>
    <xf numFmtId="1" fontId="0" fillId="0" borderId="11" xfId="0" applyNumberFormat="1" applyBorder="1" applyAlignment="1">
      <alignment horizontal="center"/>
    </xf>
    <xf numFmtId="167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16" fontId="1" fillId="0" borderId="11" xfId="0" applyNumberFormat="1" applyFont="1" applyBorder="1" applyAlignment="1">
      <alignment horizontal="center" vertical="center"/>
    </xf>
    <xf numFmtId="16" fontId="1" fillId="0" borderId="11" xfId="0" applyNumberFormat="1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" fontId="0" fillId="0" borderId="11" xfId="0" applyNumberForma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39" fillId="0" borderId="11" xfId="0" applyFont="1" applyBorder="1"/>
    <xf numFmtId="0" fontId="40" fillId="0" borderId="11" xfId="0" applyFont="1" applyBorder="1" applyAlignment="1">
      <alignment vertical="center"/>
    </xf>
    <xf numFmtId="0" fontId="38" fillId="0" borderId="11" xfId="0" applyFont="1" applyBorder="1" applyAlignment="1">
      <alignment vertical="center"/>
    </xf>
    <xf numFmtId="0" fontId="38" fillId="0" borderId="11" xfId="0" applyFont="1" applyBorder="1"/>
    <xf numFmtId="166" fontId="35" fillId="0" borderId="1" xfId="0" applyNumberFormat="1" applyFont="1" applyBorder="1" applyAlignment="1">
      <alignment horizontal="left"/>
    </xf>
    <xf numFmtId="0" fontId="40" fillId="0" borderId="11" xfId="0" applyFont="1" applyBorder="1" applyAlignment="1">
      <alignment horizontal="left" vertical="center"/>
    </xf>
    <xf numFmtId="16" fontId="38" fillId="0" borderId="11" xfId="0" applyNumberFormat="1" applyFont="1" applyBorder="1" applyAlignment="1">
      <alignment horizontal="left" vertical="center"/>
    </xf>
    <xf numFmtId="0" fontId="38" fillId="0" borderId="11" xfId="0" applyFont="1" applyBorder="1" applyAlignment="1">
      <alignment horizontal="left" vertical="center"/>
    </xf>
    <xf numFmtId="0" fontId="8" fillId="5" borderId="0" xfId="0" applyFont="1" applyFill="1" applyAlignment="1">
      <alignment vertical="center"/>
    </xf>
    <xf numFmtId="0" fontId="19" fillId="0" borderId="0" xfId="0" applyFont="1"/>
    <xf numFmtId="0" fontId="19" fillId="0" borderId="0" xfId="0" applyFont="1" applyAlignment="1">
      <alignment vertical="top"/>
    </xf>
    <xf numFmtId="0" fontId="19" fillId="0" borderId="1" xfId="0" applyFont="1" applyBorder="1"/>
    <xf numFmtId="0" fontId="39" fillId="0" borderId="11" xfId="0" applyFont="1" applyBorder="1" applyAlignment="1">
      <alignment horizontal="left"/>
    </xf>
    <xf numFmtId="1" fontId="40" fillId="0" borderId="11" xfId="0" quotePrefix="1" applyNumberFormat="1" applyFont="1" applyBorder="1" applyAlignment="1">
      <alignment horizontal="left" vertical="center"/>
    </xf>
    <xf numFmtId="1" fontId="38" fillId="0" borderId="11" xfId="0" quotePrefix="1" applyNumberFormat="1" applyFont="1" applyBorder="1" applyAlignment="1">
      <alignment horizontal="left" vertical="center"/>
    </xf>
    <xf numFmtId="1" fontId="38" fillId="0" borderId="11" xfId="0" quotePrefix="1" applyNumberFormat="1" applyFont="1" applyBorder="1" applyAlignment="1">
      <alignment horizontal="left"/>
    </xf>
    <xf numFmtId="0" fontId="38" fillId="0" borderId="11" xfId="0" quotePrefix="1" applyFont="1" applyBorder="1" applyAlignment="1">
      <alignment horizontal="left"/>
    </xf>
    <xf numFmtId="0" fontId="38" fillId="0" borderId="11" xfId="0" applyFont="1" applyBorder="1" applyAlignment="1">
      <alignment horizontal="left"/>
    </xf>
    <xf numFmtId="1" fontId="38" fillId="0" borderId="13" xfId="0" quotePrefix="1" applyNumberFormat="1" applyFont="1" applyBorder="1" applyAlignment="1">
      <alignment horizontal="left"/>
    </xf>
    <xf numFmtId="1" fontId="38" fillId="0" borderId="14" xfId="0" quotePrefix="1" applyNumberFormat="1" applyFont="1" applyBorder="1" applyAlignment="1">
      <alignment horizontal="left"/>
    </xf>
    <xf numFmtId="166" fontId="19" fillId="0" borderId="1" xfId="0" applyNumberFormat="1" applyFont="1" applyBorder="1"/>
    <xf numFmtId="166" fontId="35" fillId="0" borderId="1" xfId="0" applyNumberFormat="1" applyFont="1" applyBorder="1" applyAlignment="1">
      <alignment horizontal="left"/>
    </xf>
    <xf numFmtId="0" fontId="27" fillId="6" borderId="6" xfId="0" applyFont="1" applyFill="1" applyBorder="1"/>
    <xf numFmtId="0" fontId="27" fillId="6" borderId="7" xfId="0" applyFont="1" applyFill="1" applyBorder="1"/>
    <xf numFmtId="0" fontId="23" fillId="0" borderId="0" xfId="0" applyFont="1" applyAlignment="1">
      <alignment horizontal="right" vertical="center"/>
    </xf>
    <xf numFmtId="0" fontId="22" fillId="4" borderId="4" xfId="0" applyFont="1" applyFill="1" applyBorder="1" applyAlignment="1">
      <alignment horizontal="right" vertical="center" wrapText="1"/>
    </xf>
    <xf numFmtId="0" fontId="22" fillId="4" borderId="10" xfId="0" applyFont="1" applyFill="1" applyBorder="1" applyAlignment="1">
      <alignment horizontal="right" vertical="center" wrapText="1"/>
    </xf>
    <xf numFmtId="0" fontId="29" fillId="5" borderId="0" xfId="0" applyFont="1" applyFill="1" applyAlignment="1">
      <alignment horizontal="right" vertical="center"/>
    </xf>
    <xf numFmtId="0" fontId="4" fillId="0" borderId="0" xfId="0" applyFont="1"/>
    <xf numFmtId="0" fontId="31" fillId="5" borderId="0" xfId="0" applyFont="1" applyFill="1" applyAlignment="1">
      <alignment vertical="center"/>
    </xf>
    <xf numFmtId="0" fontId="10" fillId="0" borderId="0" xfId="0" applyFont="1" applyAlignment="1">
      <alignment horizontal="left" vertical="center"/>
    </xf>
    <xf numFmtId="0" fontId="22" fillId="4" borderId="2" xfId="0" applyFont="1" applyFill="1" applyBorder="1" applyAlignment="1">
      <alignment horizontal="center" vertical="center" wrapText="1"/>
    </xf>
    <xf numFmtId="0" fontId="22" fillId="4" borderId="8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 wrapText="1"/>
    </xf>
    <xf numFmtId="0" fontId="22" fillId="4" borderId="9" xfId="0" applyFont="1" applyFill="1" applyBorder="1" applyAlignment="1">
      <alignment horizontal="center" vertical="center" wrapText="1"/>
    </xf>
    <xf numFmtId="0" fontId="0" fillId="0" borderId="0" xfId="0"/>
    <xf numFmtId="0" fontId="33" fillId="0" borderId="0" xfId="0" applyFont="1" applyAlignment="1">
      <alignment horizontal="left" vertical="center"/>
    </xf>
    <xf numFmtId="0" fontId="35" fillId="0" borderId="1" xfId="0" applyFont="1" applyBorder="1" applyAlignment="1">
      <alignment horizontal="left"/>
    </xf>
    <xf numFmtId="0" fontId="10" fillId="0" borderId="1" xfId="0" applyFont="1" applyBorder="1"/>
    <xf numFmtId="0" fontId="20" fillId="5" borderId="0" xfId="0" applyFont="1" applyFill="1" applyAlignment="1">
      <alignment vertical="center"/>
    </xf>
    <xf numFmtId="0" fontId="32" fillId="0" borderId="0" xfId="0" applyFont="1" applyAlignment="1">
      <alignment horizontal="left" vertical="center"/>
    </xf>
    <xf numFmtId="0" fontId="33" fillId="0" borderId="0" xfId="0" quotePrefix="1" applyFont="1" applyAlignment="1">
      <alignment horizontal="left" vertical="center"/>
    </xf>
    <xf numFmtId="0" fontId="21" fillId="4" borderId="3" xfId="0" applyFont="1" applyFill="1" applyBorder="1" applyAlignment="1">
      <alignment horizontal="center"/>
    </xf>
    <xf numFmtId="0" fontId="0" fillId="0" borderId="11" xfId="0" applyBorder="1"/>
    <xf numFmtId="0" fontId="8" fillId="5" borderId="0" xfId="0" applyFont="1" applyFill="1" applyAlignment="1">
      <alignment horizontal="right" vertical="center"/>
    </xf>
    <xf numFmtId="0" fontId="1" fillId="0" borderId="11" xfId="0" applyFont="1" applyBorder="1" applyAlignment="1">
      <alignment vertical="center"/>
    </xf>
    <xf numFmtId="0" fontId="10" fillId="0" borderId="0" xfId="0" applyFont="1" applyAlignment="1">
      <alignment vertical="center"/>
    </xf>
    <xf numFmtId="166" fontId="34" fillId="0" borderId="0" xfId="0" applyNumberFormat="1" applyFont="1" applyAlignment="1">
      <alignment vertical="center"/>
    </xf>
    <xf numFmtId="0" fontId="34" fillId="0" borderId="12" xfId="0" applyFont="1" applyBorder="1" applyAlignment="1">
      <alignment vertical="center"/>
    </xf>
    <xf numFmtId="166" fontId="35" fillId="0" borderId="0" xfId="0" applyNumberFormat="1" applyFont="1" applyAlignment="1">
      <alignment horizontal="left"/>
    </xf>
    <xf numFmtId="0" fontId="36" fillId="0" borderId="11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1" xfId="0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137160</xdr:rowOff>
    </xdr:from>
    <xdr:to>
      <xdr:col>1</xdr:col>
      <xdr:colOff>1709432</xdr:colOff>
      <xdr:row>35</xdr:row>
      <xdr:rowOff>24185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8BC1BB-51AC-4114-9B34-DA68B4501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221980"/>
          <a:ext cx="1869452" cy="6185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12</xdr:row>
      <xdr:rowOff>106680</xdr:rowOff>
    </xdr:from>
    <xdr:to>
      <xdr:col>1</xdr:col>
      <xdr:colOff>914400</xdr:colOff>
      <xdr:row>15</xdr:row>
      <xdr:rowOff>62285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B09620-A93C-4F81-971C-5BE4C02E6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4236720"/>
          <a:ext cx="1524000" cy="50424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FEBE-B068-4D93-9E2E-95BF730E8517}">
  <sheetPr>
    <pageSetUpPr fitToPage="1"/>
  </sheetPr>
  <dimension ref="A1:J40"/>
  <sheetViews>
    <sheetView showGridLines="0" view="pageBreakPreview" zoomScaleNormal="100" zoomScaleSheetLayoutView="100" workbookViewId="0">
      <selection activeCell="K22" sqref="K22"/>
    </sheetView>
  </sheetViews>
  <sheetFormatPr defaultRowHeight="14.4" x14ac:dyDescent="0.3"/>
  <cols>
    <col min="1" max="1" width="2.33203125" bestFit="1" customWidth="1"/>
    <col min="2" max="2" width="27.88671875" bestFit="1" customWidth="1"/>
    <col min="3" max="4" width="7.6640625" customWidth="1"/>
    <col min="5" max="5" width="14.33203125" customWidth="1"/>
    <col min="6" max="6" width="6.6640625" bestFit="1" customWidth="1"/>
    <col min="7" max="7" width="17.33203125" bestFit="1" customWidth="1"/>
    <col min="8" max="8" width="22.6640625" customWidth="1"/>
    <col min="9" max="9" width="12.44140625" bestFit="1" customWidth="1"/>
    <col min="10" max="12" width="10.6640625" customWidth="1"/>
  </cols>
  <sheetData>
    <row r="1" spans="1:10" ht="22.8" x14ac:dyDescent="0.3">
      <c r="A1" s="93" t="s">
        <v>23</v>
      </c>
      <c r="B1" s="72"/>
      <c r="C1" s="72"/>
      <c r="D1" s="72"/>
      <c r="E1" s="72"/>
      <c r="F1" s="72"/>
      <c r="G1" s="91" t="s">
        <v>28</v>
      </c>
      <c r="H1" s="91"/>
    </row>
    <row r="2" spans="1:10" ht="1.95" customHeight="1" x14ac:dyDescent="0.3">
      <c r="A2" s="9"/>
      <c r="B2" s="9"/>
      <c r="C2" s="9"/>
      <c r="D2" s="9"/>
      <c r="E2" s="9"/>
      <c r="F2" s="9"/>
      <c r="G2" s="9"/>
      <c r="H2" s="9"/>
    </row>
    <row r="3" spans="1:10" x14ac:dyDescent="0.3">
      <c r="A3" s="94" t="s">
        <v>2</v>
      </c>
      <c r="B3" s="94"/>
      <c r="C3" s="94"/>
      <c r="D3" s="94"/>
      <c r="E3" s="88" t="s">
        <v>5</v>
      </c>
      <c r="F3" s="88"/>
      <c r="G3" s="88"/>
      <c r="H3" s="18" t="s">
        <v>70</v>
      </c>
    </row>
    <row r="4" spans="1:10" x14ac:dyDescent="0.3">
      <c r="A4" s="94" t="s">
        <v>26</v>
      </c>
      <c r="B4" s="94"/>
      <c r="C4" s="94"/>
      <c r="D4" s="94"/>
      <c r="E4" s="88" t="s">
        <v>3</v>
      </c>
      <c r="F4" s="88"/>
      <c r="G4" s="88"/>
      <c r="H4" s="20">
        <v>46168</v>
      </c>
    </row>
    <row r="5" spans="1:10" x14ac:dyDescent="0.3">
      <c r="A5" s="94" t="s">
        <v>42</v>
      </c>
      <c r="B5" s="94"/>
      <c r="C5" s="94"/>
      <c r="D5" s="94"/>
      <c r="E5" s="88" t="s">
        <v>4</v>
      </c>
      <c r="F5" s="88"/>
      <c r="G5" s="88"/>
      <c r="H5" s="20" t="s">
        <v>75</v>
      </c>
      <c r="I5" s="20"/>
    </row>
    <row r="6" spans="1:10" x14ac:dyDescent="0.3">
      <c r="A6" s="94" t="s">
        <v>22</v>
      </c>
      <c r="B6" s="94"/>
      <c r="C6" s="94"/>
      <c r="D6" s="94"/>
      <c r="E6" s="88" t="s">
        <v>7</v>
      </c>
      <c r="F6" s="88"/>
      <c r="G6" s="88"/>
      <c r="H6" s="18" t="s">
        <v>52</v>
      </c>
    </row>
    <row r="7" spans="1:10" x14ac:dyDescent="0.3">
      <c r="A7" s="94" t="s">
        <v>31</v>
      </c>
      <c r="B7" s="94"/>
      <c r="C7" s="94"/>
      <c r="D7" s="94"/>
      <c r="E7" s="88"/>
      <c r="F7" s="88"/>
      <c r="G7" s="88"/>
      <c r="H7" s="18"/>
    </row>
    <row r="8" spans="1:10" x14ac:dyDescent="0.3">
      <c r="A8" s="94"/>
      <c r="B8" s="94"/>
      <c r="C8" s="94"/>
      <c r="D8" s="94"/>
      <c r="E8" s="88"/>
      <c r="F8" s="88"/>
      <c r="G8" s="88"/>
      <c r="H8" s="18"/>
      <c r="J8">
        <v>30</v>
      </c>
    </row>
    <row r="9" spans="1:10" x14ac:dyDescent="0.3">
      <c r="A9" s="5"/>
      <c r="B9" s="7"/>
      <c r="C9" s="2"/>
      <c r="D9" s="2"/>
      <c r="E9" s="92"/>
      <c r="F9" s="92"/>
      <c r="G9" s="92"/>
      <c r="H9" s="19"/>
    </row>
    <row r="10" spans="1:10" x14ac:dyDescent="0.3">
      <c r="A10" s="104" t="s">
        <v>6</v>
      </c>
      <c r="B10" s="104"/>
      <c r="C10" s="104"/>
      <c r="D10" s="104"/>
      <c r="E10" s="88"/>
      <c r="F10" s="88"/>
      <c r="G10" s="88"/>
      <c r="H10" s="19"/>
    </row>
    <row r="11" spans="1:10" x14ac:dyDescent="0.3">
      <c r="A11" s="100" t="s">
        <v>32</v>
      </c>
      <c r="B11" s="100"/>
      <c r="C11" s="100"/>
      <c r="D11" s="100"/>
      <c r="E11" s="88"/>
      <c r="F11" s="88"/>
      <c r="G11" s="88"/>
      <c r="H11" s="18"/>
    </row>
    <row r="12" spans="1:10" x14ac:dyDescent="0.3">
      <c r="A12" s="100" t="s">
        <v>33</v>
      </c>
      <c r="B12" s="100"/>
      <c r="C12" s="100"/>
      <c r="D12" s="100"/>
      <c r="E12" s="88"/>
      <c r="F12" s="88"/>
      <c r="G12" s="88"/>
      <c r="H12" s="18"/>
    </row>
    <row r="13" spans="1:10" x14ac:dyDescent="0.3">
      <c r="A13" s="100" t="s">
        <v>34</v>
      </c>
      <c r="B13" s="100"/>
      <c r="C13" s="100"/>
      <c r="D13" s="100"/>
      <c r="E13" s="88"/>
      <c r="F13" s="88"/>
      <c r="G13" s="88"/>
      <c r="H13" s="31"/>
    </row>
    <row r="14" spans="1:10" x14ac:dyDescent="0.3">
      <c r="A14" s="105" t="s">
        <v>35</v>
      </c>
      <c r="B14" s="100"/>
      <c r="C14" s="100"/>
      <c r="D14" s="100"/>
      <c r="E14" s="88"/>
      <c r="F14" s="88"/>
      <c r="G14" s="88"/>
      <c r="H14" s="31"/>
    </row>
    <row r="15" spans="1:10" x14ac:dyDescent="0.3">
      <c r="A15" s="99"/>
      <c r="B15" s="99"/>
      <c r="C15" s="99"/>
      <c r="D15" s="99"/>
      <c r="E15" s="88"/>
      <c r="F15" s="88"/>
      <c r="G15" s="88"/>
      <c r="H15" s="18"/>
    </row>
    <row r="16" spans="1:10" x14ac:dyDescent="0.3">
      <c r="A16" s="100" t="s">
        <v>53</v>
      </c>
      <c r="B16" s="100"/>
      <c r="C16" s="100"/>
      <c r="D16" s="100"/>
      <c r="E16" s="2"/>
      <c r="F16" s="2"/>
      <c r="G16" s="10"/>
      <c r="H16" s="11"/>
    </row>
    <row r="17" spans="1:9" x14ac:dyDescent="0.3">
      <c r="A17" s="100" t="s">
        <v>36</v>
      </c>
      <c r="B17" s="100"/>
      <c r="C17" s="100"/>
      <c r="D17" s="100"/>
      <c r="E17" s="2"/>
      <c r="F17" s="2"/>
      <c r="G17" s="10"/>
      <c r="H17" s="11"/>
    </row>
    <row r="18" spans="1:9" x14ac:dyDescent="0.3">
      <c r="E18" s="2"/>
      <c r="F18" s="2"/>
      <c r="G18" s="10"/>
      <c r="H18" s="11"/>
    </row>
    <row r="19" spans="1:9" x14ac:dyDescent="0.3">
      <c r="A19" s="95" t="s">
        <v>8</v>
      </c>
      <c r="B19" s="97" t="s">
        <v>16</v>
      </c>
      <c r="C19" s="106" t="s">
        <v>27</v>
      </c>
      <c r="D19" s="106"/>
      <c r="E19" s="106"/>
      <c r="F19" s="106" t="s">
        <v>14</v>
      </c>
      <c r="G19" s="106"/>
      <c r="H19" s="89" t="s">
        <v>15</v>
      </c>
    </row>
    <row r="20" spans="1:9" ht="30.6" x14ac:dyDescent="0.3">
      <c r="A20" s="96"/>
      <c r="B20" s="98" t="s">
        <v>16</v>
      </c>
      <c r="C20" s="38" t="s">
        <v>9</v>
      </c>
      <c r="D20" s="38" t="s">
        <v>10</v>
      </c>
      <c r="E20" s="38" t="s">
        <v>29</v>
      </c>
      <c r="F20" s="38" t="s">
        <v>11</v>
      </c>
      <c r="G20" s="38" t="s">
        <v>30</v>
      </c>
      <c r="H20" s="90"/>
    </row>
    <row r="21" spans="1:9" x14ac:dyDescent="0.3">
      <c r="A21" s="42">
        <v>1</v>
      </c>
      <c r="B21" s="43" t="s">
        <v>69</v>
      </c>
      <c r="C21" s="44">
        <v>22</v>
      </c>
      <c r="D21" s="45">
        <f>J8</f>
        <v>30</v>
      </c>
      <c r="E21" s="46">
        <f>IF(C21="","",C21*D21*11.5)</f>
        <v>7590</v>
      </c>
      <c r="F21" s="44">
        <f>'Service Notes'!M9</f>
        <v>8</v>
      </c>
      <c r="G21" s="46">
        <f>IF(C21="","",C21*F21*96.5)</f>
        <v>16984</v>
      </c>
      <c r="H21" s="47">
        <f>IF(C21="","",E21+G21)</f>
        <v>24574</v>
      </c>
      <c r="I21" s="32"/>
    </row>
    <row r="22" spans="1:9" x14ac:dyDescent="0.3">
      <c r="A22" s="42">
        <v>2</v>
      </c>
      <c r="B22" s="43" t="s">
        <v>77</v>
      </c>
      <c r="C22" s="44">
        <v>1</v>
      </c>
      <c r="D22" s="45">
        <f>D21</f>
        <v>30</v>
      </c>
      <c r="E22" s="46">
        <f t="shared" ref="E22:E23" si="0">IF(C22="","",C22*D22*11.5)</f>
        <v>345</v>
      </c>
      <c r="F22" s="44">
        <f>'Service Notes'!M10</f>
        <v>8</v>
      </c>
      <c r="G22" s="46">
        <f>IF(C22="","",C22*F22*96.5)</f>
        <v>772</v>
      </c>
      <c r="H22" s="47">
        <f>IF(C22="","",E22+G22)</f>
        <v>1117</v>
      </c>
      <c r="I22" s="32"/>
    </row>
    <row r="23" spans="1:9" x14ac:dyDescent="0.3">
      <c r="A23" s="42">
        <v>3</v>
      </c>
      <c r="B23" s="43" t="s">
        <v>78</v>
      </c>
      <c r="C23" s="44">
        <v>12</v>
      </c>
      <c r="D23" s="45">
        <f>D22</f>
        <v>30</v>
      </c>
      <c r="E23" s="46">
        <f t="shared" si="0"/>
        <v>4140</v>
      </c>
      <c r="F23" s="44">
        <f>'Service Notes'!M11</f>
        <v>8</v>
      </c>
      <c r="G23" s="46">
        <f>IF(C23="","",C23*F23*96.5)</f>
        <v>9264</v>
      </c>
      <c r="H23" s="47">
        <f t="shared" ref="H23" si="1">IF(C23="","",E23+G23)</f>
        <v>13404</v>
      </c>
    </row>
    <row r="24" spans="1:9" x14ac:dyDescent="0.3">
      <c r="A24" s="42"/>
      <c r="B24" s="48"/>
      <c r="C24" s="49"/>
      <c r="D24" s="50" t="str">
        <f>IF(C24="","",$H$13)</f>
        <v/>
      </c>
      <c r="E24" s="51" t="str">
        <f>IF(C24="","",C24*$H$13*$H$14)</f>
        <v/>
      </c>
      <c r="F24" s="49"/>
      <c r="G24" s="51" t="str">
        <f>IF(C24="","",C24*F24*$H$15)</f>
        <v/>
      </c>
      <c r="H24" s="52"/>
    </row>
    <row r="25" spans="1:9" x14ac:dyDescent="0.3">
      <c r="A25" s="1"/>
      <c r="B25" s="8"/>
      <c r="C25" s="8"/>
      <c r="D25" s="8"/>
      <c r="E25" s="3"/>
      <c r="F25" s="3"/>
      <c r="G25" s="4"/>
    </row>
    <row r="26" spans="1:9" x14ac:dyDescent="0.3">
      <c r="A26" s="24"/>
      <c r="B26" s="25" t="s">
        <v>24</v>
      </c>
      <c r="C26" s="26">
        <f>SUM(C21:C24)</f>
        <v>35</v>
      </c>
      <c r="D26" s="27"/>
      <c r="E26" s="28">
        <f>SUM(E21:E24)</f>
        <v>12075</v>
      </c>
      <c r="F26" s="27"/>
      <c r="G26" s="28">
        <f>SUM(G21:G24)</f>
        <v>27020</v>
      </c>
      <c r="H26" s="29">
        <f>SUM(E26,G26)</f>
        <v>39095</v>
      </c>
      <c r="I26" s="32"/>
    </row>
    <row r="27" spans="1:9" x14ac:dyDescent="0.3">
      <c r="A27" s="1"/>
      <c r="B27" s="8"/>
      <c r="C27" s="8"/>
      <c r="D27" s="8"/>
      <c r="G27" s="3" t="s">
        <v>13</v>
      </c>
      <c r="H27" s="12">
        <f>H26*15%</f>
        <v>5864.25</v>
      </c>
    </row>
    <row r="28" spans="1:9" ht="15.6" x14ac:dyDescent="0.3">
      <c r="A28" s="103" t="s">
        <v>12</v>
      </c>
      <c r="B28" s="103"/>
      <c r="C28" s="103"/>
      <c r="D28" s="16"/>
      <c r="E28" s="37"/>
      <c r="F28" s="86" t="s">
        <v>25</v>
      </c>
      <c r="G28" s="87"/>
      <c r="H28" s="30">
        <f>H26+H27</f>
        <v>44959.25</v>
      </c>
    </row>
    <row r="29" spans="1:9" x14ac:dyDescent="0.3">
      <c r="A29" s="21" t="s">
        <v>17</v>
      </c>
      <c r="B29" s="22"/>
      <c r="C29" s="22"/>
      <c r="D29" s="5"/>
      <c r="E29" s="5"/>
      <c r="F29" s="5"/>
      <c r="G29" s="5"/>
    </row>
    <row r="30" spans="1:9" x14ac:dyDescent="0.3">
      <c r="A30" s="21" t="s">
        <v>18</v>
      </c>
      <c r="B30" s="22"/>
      <c r="C30" s="22"/>
      <c r="D30" s="14"/>
      <c r="E30" s="14"/>
      <c r="F30" s="14"/>
      <c r="G30" s="14"/>
      <c r="H30" s="14"/>
    </row>
    <row r="31" spans="1:9" x14ac:dyDescent="0.3">
      <c r="A31" s="22" t="s">
        <v>43</v>
      </c>
      <c r="B31" s="22"/>
      <c r="C31" s="22"/>
      <c r="E31" s="13"/>
      <c r="F31" s="13"/>
      <c r="G31" s="13"/>
      <c r="H31" s="13"/>
    </row>
    <row r="32" spans="1:9" x14ac:dyDescent="0.3">
      <c r="A32" s="22" t="s">
        <v>19</v>
      </c>
      <c r="B32" s="22"/>
      <c r="C32" s="22"/>
      <c r="E32" s="13"/>
      <c r="F32" s="13"/>
      <c r="G32" s="13"/>
      <c r="H32" s="13"/>
    </row>
    <row r="33" spans="1:8" x14ac:dyDescent="0.3">
      <c r="A33" s="22"/>
      <c r="B33" s="22"/>
      <c r="C33" s="22"/>
      <c r="E33" s="15"/>
      <c r="F33" s="15"/>
      <c r="G33" s="15"/>
      <c r="H33" s="15"/>
    </row>
    <row r="34" spans="1:8" x14ac:dyDescent="0.3">
      <c r="A34" s="17"/>
      <c r="B34" s="17"/>
      <c r="C34" s="17"/>
      <c r="E34" s="23" t="s">
        <v>21</v>
      </c>
      <c r="F34" s="23"/>
      <c r="G34" s="23"/>
      <c r="H34" s="23"/>
    </row>
    <row r="35" spans="1:8" x14ac:dyDescent="0.3">
      <c r="A35" s="17"/>
      <c r="B35" s="17"/>
      <c r="C35" s="17"/>
      <c r="E35" s="13"/>
      <c r="F35" s="13"/>
      <c r="G35" s="13"/>
      <c r="H35" s="13"/>
    </row>
    <row r="36" spans="1:8" x14ac:dyDescent="0.3">
      <c r="A36" s="102"/>
      <c r="B36" s="102"/>
      <c r="C36" s="102"/>
      <c r="E36" s="15"/>
      <c r="F36" s="15"/>
      <c r="G36" s="15"/>
      <c r="H36" s="15"/>
    </row>
    <row r="37" spans="1:8" x14ac:dyDescent="0.3">
      <c r="A37" s="23" t="s">
        <v>20</v>
      </c>
      <c r="B37" s="23"/>
      <c r="C37" s="23"/>
      <c r="E37" s="13" t="s">
        <v>1</v>
      </c>
      <c r="F37" s="13"/>
      <c r="G37" s="13"/>
      <c r="H37" s="13"/>
    </row>
    <row r="38" spans="1:8" x14ac:dyDescent="0.3">
      <c r="A38" s="13"/>
      <c r="B38" s="13"/>
      <c r="C38" s="13"/>
      <c r="E38" s="13"/>
      <c r="F38" s="13"/>
      <c r="G38" s="13"/>
      <c r="H38" s="13"/>
    </row>
    <row r="39" spans="1:8" x14ac:dyDescent="0.3">
      <c r="A39" s="85">
        <f>H4</f>
        <v>46168</v>
      </c>
      <c r="B39" s="101"/>
      <c r="C39" s="101"/>
      <c r="E39" s="84"/>
      <c r="F39" s="75"/>
      <c r="G39" s="75"/>
      <c r="H39" s="75"/>
    </row>
    <row r="40" spans="1:8" ht="25.2" customHeight="1" x14ac:dyDescent="0.3">
      <c r="A40" s="23" t="s">
        <v>0</v>
      </c>
      <c r="B40" s="13"/>
      <c r="C40" s="13"/>
      <c r="E40" s="23" t="s">
        <v>0</v>
      </c>
      <c r="F40" s="13"/>
      <c r="G40" s="13"/>
      <c r="H40" s="13"/>
    </row>
  </sheetData>
  <mergeCells count="39">
    <mergeCell ref="A39:C39"/>
    <mergeCell ref="A36:C36"/>
    <mergeCell ref="E39:H39"/>
    <mergeCell ref="A5:D5"/>
    <mergeCell ref="A6:D6"/>
    <mergeCell ref="A7:D7"/>
    <mergeCell ref="A28:C28"/>
    <mergeCell ref="A8:D8"/>
    <mergeCell ref="A10:D10"/>
    <mergeCell ref="E10:G10"/>
    <mergeCell ref="A11:D11"/>
    <mergeCell ref="A12:D12"/>
    <mergeCell ref="A13:D13"/>
    <mergeCell ref="A14:D14"/>
    <mergeCell ref="C19:E19"/>
    <mergeCell ref="F19:G19"/>
    <mergeCell ref="A19:A20"/>
    <mergeCell ref="B19:B20"/>
    <mergeCell ref="E13:G13"/>
    <mergeCell ref="E14:G14"/>
    <mergeCell ref="A15:D15"/>
    <mergeCell ref="A16:D16"/>
    <mergeCell ref="A17:D17"/>
    <mergeCell ref="F28:G28"/>
    <mergeCell ref="E8:G8"/>
    <mergeCell ref="H19:H20"/>
    <mergeCell ref="G1:H1"/>
    <mergeCell ref="E9:G9"/>
    <mergeCell ref="E11:G11"/>
    <mergeCell ref="E12:G12"/>
    <mergeCell ref="A1:F1"/>
    <mergeCell ref="A3:D3"/>
    <mergeCell ref="A4:D4"/>
    <mergeCell ref="E3:G3"/>
    <mergeCell ref="E4:G4"/>
    <mergeCell ref="E5:G5"/>
    <mergeCell ref="E6:G6"/>
    <mergeCell ref="E7:G7"/>
    <mergeCell ref="E15:G15"/>
  </mergeCells>
  <phoneticPr fontId="11" type="noConversion"/>
  <dataValidations count="1">
    <dataValidation type="whole" operator="greaterThanOrEqual" showErrorMessage="1" errorTitle="Invalid" error="Enter a whole number ≥ 0" sqref="C21:C24 F21:F24" xr:uid="{C6D762D9-E729-416C-B9B8-C414A1A3C1A1}">
      <formula1>0</formula1>
      <formula2>0</formula2>
    </dataValidation>
  </dataValidations>
  <pageMargins left="0.7" right="0.7" top="1.542" bottom="0.75" header="0.3" footer="0.3"/>
  <pageSetup paperSize="9" scale="82" fitToHeight="0" orientation="portrait" r:id="rId1"/>
  <headerFooter>
    <oddHeader>&amp;L&amp;"-,Bold"&amp;22TAX INVOICE&amp;10
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5C490-9475-4092-9D4D-DDA8F324246F}">
  <sheetPr>
    <pageSetUpPr fitToPage="1"/>
  </sheetPr>
  <dimension ref="A1:M19"/>
  <sheetViews>
    <sheetView view="pageBreakPreview" zoomScaleNormal="100" zoomScaleSheetLayoutView="100" workbookViewId="0">
      <selection activeCell="A18" sqref="A18:B18"/>
    </sheetView>
  </sheetViews>
  <sheetFormatPr defaultRowHeight="14.4" x14ac:dyDescent="0.3"/>
  <cols>
    <col min="1" max="1" width="9.6640625" customWidth="1"/>
    <col min="2" max="2" width="24.44140625" customWidth="1"/>
    <col min="3" max="3" width="7.21875" customWidth="1"/>
    <col min="4" max="5" width="13.21875" bestFit="1" customWidth="1"/>
    <col min="6" max="6" width="11.5546875" bestFit="1" customWidth="1"/>
    <col min="7" max="7" width="14.33203125" bestFit="1" customWidth="1"/>
    <col min="8" max="8" width="19" bestFit="1" customWidth="1"/>
    <col min="9" max="10" width="14.33203125" bestFit="1" customWidth="1"/>
    <col min="11" max="11" width="13.44140625" bestFit="1" customWidth="1"/>
    <col min="12" max="12" width="13.44140625" customWidth="1"/>
    <col min="13" max="13" width="7.44140625" bestFit="1" customWidth="1"/>
    <col min="14" max="14" width="12.44140625" bestFit="1" customWidth="1"/>
    <col min="15" max="17" width="10.6640625" customWidth="1"/>
  </cols>
  <sheetData>
    <row r="1" spans="1:13" ht="19.2" x14ac:dyDescent="0.3">
      <c r="A1" s="93" t="s">
        <v>23</v>
      </c>
      <c r="B1" s="93"/>
      <c r="C1" s="93"/>
      <c r="D1" s="93"/>
      <c r="E1" s="93"/>
      <c r="F1" s="93"/>
      <c r="G1" s="93"/>
      <c r="H1" s="93"/>
      <c r="I1" s="108" t="s">
        <v>67</v>
      </c>
      <c r="J1" s="108"/>
      <c r="K1" s="108"/>
      <c r="L1" s="108"/>
      <c r="M1" s="108"/>
    </row>
    <row r="2" spans="1:13" ht="1.95" customHeight="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x14ac:dyDescent="0.3">
      <c r="A3" s="110" t="s">
        <v>37</v>
      </c>
      <c r="B3" s="110"/>
      <c r="C3" s="110"/>
      <c r="D3" s="110"/>
      <c r="E3" s="33"/>
      <c r="F3" s="33"/>
      <c r="G3" s="33"/>
      <c r="H3" s="33"/>
      <c r="I3" s="33"/>
      <c r="J3" s="33"/>
      <c r="K3" s="33"/>
      <c r="L3" s="33"/>
      <c r="M3" s="33"/>
    </row>
    <row r="4" spans="1:13" x14ac:dyDescent="0.3">
      <c r="A4" s="110" t="s">
        <v>38</v>
      </c>
      <c r="B4" s="110"/>
      <c r="C4" s="110"/>
      <c r="D4" s="110"/>
      <c r="E4" s="33"/>
      <c r="F4" s="33"/>
      <c r="G4" s="33"/>
      <c r="H4" s="33"/>
      <c r="I4" s="33"/>
      <c r="J4" s="33"/>
      <c r="K4" s="33"/>
      <c r="L4" s="33"/>
      <c r="M4" s="33"/>
    </row>
    <row r="5" spans="1:13" x14ac:dyDescent="0.3">
      <c r="A5" s="110" t="s">
        <v>39</v>
      </c>
      <c r="B5" s="110"/>
      <c r="C5" s="110"/>
      <c r="D5" s="110"/>
      <c r="E5" s="33"/>
      <c r="F5" s="33"/>
      <c r="G5" s="33"/>
      <c r="H5" s="33"/>
      <c r="I5" s="33"/>
      <c r="J5" s="33"/>
      <c r="K5" s="33"/>
      <c r="L5" s="33"/>
      <c r="M5" s="33"/>
    </row>
    <row r="6" spans="1:13" x14ac:dyDescent="0.3">
      <c r="A6" s="111" t="s">
        <v>76</v>
      </c>
      <c r="B6" s="111" t="s">
        <v>76</v>
      </c>
      <c r="C6" s="111" t="s">
        <v>76</v>
      </c>
      <c r="D6" s="111" t="s">
        <v>76</v>
      </c>
      <c r="E6" s="33"/>
      <c r="F6" s="33"/>
      <c r="G6" s="33"/>
      <c r="H6" s="33"/>
      <c r="I6" s="33"/>
      <c r="J6" s="33"/>
      <c r="K6" s="33"/>
      <c r="L6" s="33"/>
      <c r="M6" s="33"/>
    </row>
    <row r="7" spans="1:13" x14ac:dyDescent="0.3">
      <c r="A7" s="112"/>
      <c r="B7" s="112"/>
      <c r="C7" s="112"/>
      <c r="D7" s="112"/>
      <c r="E7" s="33"/>
      <c r="F7" s="33"/>
      <c r="G7" s="33"/>
      <c r="H7" s="33"/>
      <c r="I7" s="33"/>
      <c r="J7" s="33"/>
      <c r="K7" s="33"/>
      <c r="L7" s="33"/>
      <c r="M7" s="33"/>
    </row>
    <row r="8" spans="1:13" ht="28.8" x14ac:dyDescent="0.3">
      <c r="A8" s="109" t="s">
        <v>16</v>
      </c>
      <c r="B8" s="109"/>
      <c r="C8" s="57" t="s">
        <v>47</v>
      </c>
      <c r="D8" s="58" t="s">
        <v>44</v>
      </c>
      <c r="E8" s="58" t="s">
        <v>45</v>
      </c>
      <c r="F8" s="58" t="s">
        <v>44</v>
      </c>
      <c r="G8" s="58" t="s">
        <v>45</v>
      </c>
      <c r="H8" s="58" t="s">
        <v>44</v>
      </c>
      <c r="I8" s="58" t="s">
        <v>45</v>
      </c>
      <c r="J8" s="58" t="s">
        <v>44</v>
      </c>
      <c r="K8" s="58" t="s">
        <v>45</v>
      </c>
      <c r="L8" s="58"/>
      <c r="M8" s="59" t="s">
        <v>41</v>
      </c>
    </row>
    <row r="9" spans="1:13" x14ac:dyDescent="0.3">
      <c r="A9" s="107" t="str">
        <f>'Invoice - Region 5'!B21</f>
        <v>Wallmansthall Berlin</v>
      </c>
      <c r="B9" s="107"/>
      <c r="C9" s="54">
        <f>'Invoice - Region 5'!C21</f>
        <v>22</v>
      </c>
      <c r="D9" s="55">
        <v>46140</v>
      </c>
      <c r="E9" s="55">
        <v>46143</v>
      </c>
      <c r="F9" s="55">
        <v>46147</v>
      </c>
      <c r="G9" s="55">
        <v>46150</v>
      </c>
      <c r="H9" s="55">
        <v>46154</v>
      </c>
      <c r="I9" s="55">
        <v>46157</v>
      </c>
      <c r="J9" s="55">
        <v>46161</v>
      </c>
      <c r="K9" s="55">
        <v>46164</v>
      </c>
      <c r="L9" s="55"/>
      <c r="M9" s="54">
        <f>COUNT(D9:L9)</f>
        <v>8</v>
      </c>
    </row>
    <row r="10" spans="1:13" x14ac:dyDescent="0.3">
      <c r="A10" s="107" t="str">
        <f>'Invoice - Region 5'!B22</f>
        <v>Rayton Plot 121</v>
      </c>
      <c r="B10" s="107"/>
      <c r="C10" s="54">
        <f>'Invoice - Region 5'!C22</f>
        <v>1</v>
      </c>
      <c r="D10" s="55">
        <v>46140</v>
      </c>
      <c r="E10" s="55">
        <v>46143</v>
      </c>
      <c r="F10" s="55">
        <v>46147</v>
      </c>
      <c r="G10" s="55">
        <v>46150</v>
      </c>
      <c r="H10" s="55">
        <v>46154</v>
      </c>
      <c r="I10" s="55">
        <v>46157</v>
      </c>
      <c r="J10" s="55">
        <v>46161</v>
      </c>
      <c r="K10" s="55">
        <v>46164</v>
      </c>
      <c r="L10" s="55"/>
      <c r="M10" s="54">
        <f t="shared" ref="M10:M11" si="0">COUNT(D10:L10)</f>
        <v>8</v>
      </c>
    </row>
    <row r="11" spans="1:13" x14ac:dyDescent="0.3">
      <c r="A11" s="107" t="str">
        <f>'Invoice - Region 5'!B23</f>
        <v>Pienaarspoort Ext 22</v>
      </c>
      <c r="B11" s="107"/>
      <c r="C11" s="54">
        <f>'Invoice - Region 5'!C23</f>
        <v>12</v>
      </c>
      <c r="D11" s="55">
        <v>46140</v>
      </c>
      <c r="E11" s="55">
        <v>46143</v>
      </c>
      <c r="F11" s="55">
        <v>46147</v>
      </c>
      <c r="G11" s="55">
        <v>46150</v>
      </c>
      <c r="H11" s="55">
        <v>46154</v>
      </c>
      <c r="I11" s="55">
        <v>46157</v>
      </c>
      <c r="J11" s="55">
        <v>46161</v>
      </c>
      <c r="K11" s="55">
        <v>46164</v>
      </c>
      <c r="L11" s="55"/>
      <c r="M11" s="54">
        <f t="shared" si="0"/>
        <v>8</v>
      </c>
    </row>
    <row r="12" spans="1:13" x14ac:dyDescent="0.3">
      <c r="A12" s="107"/>
      <c r="B12" s="107"/>
      <c r="C12" s="56"/>
      <c r="D12" s="56"/>
      <c r="E12" s="56"/>
      <c r="F12" s="56"/>
      <c r="G12" s="55"/>
      <c r="H12" s="55"/>
      <c r="I12" s="55"/>
      <c r="J12" s="55"/>
      <c r="K12" s="55"/>
      <c r="L12" s="55"/>
      <c r="M12" s="54"/>
    </row>
    <row r="13" spans="1:13" x14ac:dyDescent="0.3">
      <c r="G13" s="36"/>
      <c r="H13" s="36"/>
      <c r="I13" s="36"/>
      <c r="J13" s="36"/>
      <c r="K13" s="36"/>
      <c r="L13" s="36"/>
      <c r="M13" s="34"/>
    </row>
    <row r="14" spans="1:13" x14ac:dyDescent="0.3">
      <c r="G14" s="36"/>
      <c r="H14" s="36"/>
      <c r="I14" s="36"/>
      <c r="J14" s="36"/>
      <c r="K14" s="36"/>
      <c r="L14" s="36"/>
      <c r="M14" s="34"/>
    </row>
    <row r="15" spans="1:13" x14ac:dyDescent="0.3">
      <c r="A15" s="75"/>
      <c r="B15" s="75"/>
      <c r="C15" s="75"/>
      <c r="D15" s="13"/>
      <c r="E15" s="13"/>
      <c r="F15" s="13"/>
      <c r="G15" s="13"/>
      <c r="H15" s="75"/>
      <c r="I15" s="75"/>
      <c r="J15" s="75"/>
      <c r="K15" s="75"/>
      <c r="L15" s="13"/>
      <c r="M15" s="13"/>
    </row>
    <row r="16" spans="1:13" x14ac:dyDescent="0.3">
      <c r="A16" s="23" t="s">
        <v>20</v>
      </c>
      <c r="B16" s="23"/>
      <c r="C16" s="23"/>
      <c r="D16" s="23"/>
      <c r="E16" s="23"/>
      <c r="F16" s="23"/>
      <c r="G16" s="23"/>
      <c r="H16" s="23" t="s">
        <v>21</v>
      </c>
      <c r="I16" s="23"/>
      <c r="J16" s="13"/>
      <c r="K16" s="23"/>
      <c r="L16" s="23"/>
      <c r="M16" s="23"/>
    </row>
    <row r="17" spans="1:13" x14ac:dyDescent="0.3">
      <c r="A17" s="23"/>
      <c r="B17" s="23"/>
      <c r="C17" s="23"/>
      <c r="D17" s="23"/>
      <c r="E17" s="23"/>
      <c r="F17" s="23"/>
      <c r="G17" s="23"/>
      <c r="H17" s="23"/>
      <c r="I17" s="23"/>
      <c r="J17" s="13"/>
      <c r="K17" s="23"/>
      <c r="L17" s="23"/>
      <c r="M17" s="23"/>
    </row>
    <row r="18" spans="1:13" x14ac:dyDescent="0.3">
      <c r="A18" s="113">
        <f>'Invoice - Region 5'!H4</f>
        <v>46168</v>
      </c>
      <c r="B18" s="113"/>
      <c r="C18" s="41"/>
      <c r="D18" s="41"/>
      <c r="E18" s="41"/>
      <c r="F18" s="41"/>
      <c r="G18" s="13"/>
      <c r="H18" s="75"/>
      <c r="I18" s="75"/>
      <c r="J18" s="75"/>
      <c r="K18" s="75"/>
      <c r="L18" s="13"/>
      <c r="M18" s="13"/>
    </row>
    <row r="19" spans="1:13" x14ac:dyDescent="0.3">
      <c r="A19" s="113" t="s">
        <v>40</v>
      </c>
      <c r="B19" s="113"/>
      <c r="C19" s="41"/>
      <c r="D19" s="41"/>
      <c r="E19" s="41"/>
      <c r="F19" s="41"/>
      <c r="G19" s="35"/>
      <c r="H19" s="113" t="s">
        <v>40</v>
      </c>
      <c r="I19" s="113"/>
      <c r="J19" s="35"/>
      <c r="K19" s="35"/>
      <c r="L19" s="35"/>
      <c r="M19" s="35"/>
    </row>
  </sheetData>
  <mergeCells count="18">
    <mergeCell ref="H19:I19"/>
    <mergeCell ref="A18:B18"/>
    <mergeCell ref="A12:B12"/>
    <mergeCell ref="A19:B19"/>
    <mergeCell ref="A15:C15"/>
    <mergeCell ref="A9:B9"/>
    <mergeCell ref="I1:M1"/>
    <mergeCell ref="A1:H1"/>
    <mergeCell ref="H18:K18"/>
    <mergeCell ref="H15:K15"/>
    <mergeCell ref="A10:B10"/>
    <mergeCell ref="A11:B11"/>
    <mergeCell ref="A8:B8"/>
    <mergeCell ref="A3:D3"/>
    <mergeCell ref="A4:D4"/>
    <mergeCell ref="A5:D5"/>
    <mergeCell ref="A6:D6"/>
    <mergeCell ref="A7:D7"/>
  </mergeCells>
  <phoneticPr fontId="11" type="noConversion"/>
  <pageMargins left="0.7" right="0.7" top="1.542" bottom="0.75" header="0.3" footer="0.3"/>
  <pageSetup paperSize="9" scale="74" fitToHeight="0" orientation="landscape" r:id="rId1"/>
  <headerFooter>
    <oddHeader>&amp;L&amp;"-,Bold"&amp;9SERVICE NOTES
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991D8-BA22-4F3F-9FE5-5350D5E0016A}">
  <sheetPr>
    <pageSetUpPr fitToPage="1"/>
  </sheetPr>
  <dimension ref="A1:F18"/>
  <sheetViews>
    <sheetView view="pageBreakPreview" zoomScaleNormal="100" zoomScaleSheetLayoutView="100" workbookViewId="0">
      <selection activeCell="A16" sqref="A16"/>
    </sheetView>
  </sheetViews>
  <sheetFormatPr defaultRowHeight="14.4" x14ac:dyDescent="0.3"/>
  <cols>
    <col min="1" max="1" width="37.44140625" customWidth="1"/>
    <col min="2" max="2" width="8.5546875" customWidth="1"/>
    <col min="3" max="3" width="18.21875" customWidth="1"/>
    <col min="4" max="4" width="26.44140625" customWidth="1"/>
    <col min="5" max="5" width="12.44140625" bestFit="1" customWidth="1"/>
    <col min="6" max="8" width="10.6640625" customWidth="1"/>
  </cols>
  <sheetData>
    <row r="1" spans="1:5" ht="19.2" x14ac:dyDescent="0.3">
      <c r="A1" s="72" t="s">
        <v>54</v>
      </c>
      <c r="B1" s="72"/>
      <c r="C1" s="72"/>
      <c r="D1" s="72"/>
    </row>
    <row r="2" spans="1:5" ht="1.95" customHeight="1" x14ac:dyDescent="0.3">
      <c r="A2" s="9"/>
      <c r="B2" s="9"/>
      <c r="C2" s="9"/>
      <c r="D2" s="9"/>
    </row>
    <row r="3" spans="1:5" x14ac:dyDescent="0.3">
      <c r="A3" s="114" t="s">
        <v>46</v>
      </c>
      <c r="B3" s="114"/>
      <c r="C3" s="60" t="s">
        <v>47</v>
      </c>
      <c r="D3" s="60" t="s">
        <v>48</v>
      </c>
    </row>
    <row r="4" spans="1:5" x14ac:dyDescent="0.3">
      <c r="A4" s="115" t="str">
        <f>'Invoice - Region 5'!B21</f>
        <v>Wallmansthall Berlin</v>
      </c>
      <c r="B4" s="115"/>
      <c r="C4" s="61">
        <v>22</v>
      </c>
      <c r="D4" s="62" t="s">
        <v>51</v>
      </c>
    </row>
    <row r="5" spans="1:5" x14ac:dyDescent="0.3">
      <c r="A5" s="115" t="str">
        <f>'Invoice - Region 5'!B22</f>
        <v>Rayton Plot 121</v>
      </c>
      <c r="B5" s="115"/>
      <c r="C5" s="56">
        <v>1</v>
      </c>
      <c r="D5" s="62" t="s">
        <v>51</v>
      </c>
    </row>
    <row r="6" spans="1:5" x14ac:dyDescent="0.3">
      <c r="A6" s="115" t="str">
        <f>'Invoice - Region 5'!B23</f>
        <v>Pienaarspoort Ext 22</v>
      </c>
      <c r="B6" s="115"/>
      <c r="C6" s="56">
        <v>12</v>
      </c>
      <c r="D6" s="62" t="s">
        <v>51</v>
      </c>
    </row>
    <row r="7" spans="1:5" x14ac:dyDescent="0.3">
      <c r="A7" s="107"/>
      <c r="B7" s="107"/>
      <c r="C7" s="56"/>
      <c r="D7" s="62"/>
    </row>
    <row r="8" spans="1:5" x14ac:dyDescent="0.3">
      <c r="A8" s="116" t="s">
        <v>68</v>
      </c>
      <c r="B8" s="116"/>
      <c r="C8" s="63">
        <f>SUM(C4:C6)</f>
        <v>35</v>
      </c>
      <c r="D8" s="62"/>
    </row>
    <row r="9" spans="1:5" x14ac:dyDescent="0.3">
      <c r="A9" s="107"/>
      <c r="B9" s="107"/>
      <c r="C9" s="53"/>
      <c r="D9" s="61"/>
    </row>
    <row r="10" spans="1:5" x14ac:dyDescent="0.3">
      <c r="A10" s="13"/>
      <c r="B10" s="13"/>
      <c r="C10" s="73"/>
      <c r="D10" s="73"/>
    </row>
    <row r="11" spans="1:5" x14ac:dyDescent="0.3">
      <c r="A11" s="23" t="s">
        <v>49</v>
      </c>
      <c r="B11" s="23"/>
      <c r="C11" s="74" t="s">
        <v>21</v>
      </c>
      <c r="D11" s="74"/>
    </row>
    <row r="12" spans="1:5" x14ac:dyDescent="0.3">
      <c r="A12" s="13"/>
      <c r="B12" s="13"/>
      <c r="C12" s="73"/>
      <c r="D12" s="73"/>
      <c r="E12" s="32"/>
    </row>
    <row r="13" spans="1:5" ht="24" customHeight="1" x14ac:dyDescent="0.3">
      <c r="A13" s="15" t="e" vm="1">
        <v>#VALUE!</v>
      </c>
      <c r="B13" s="13"/>
      <c r="C13" s="75"/>
      <c r="D13" s="75"/>
      <c r="E13" s="32"/>
    </row>
    <row r="14" spans="1:5" x14ac:dyDescent="0.3">
      <c r="A14" s="13" t="s">
        <v>50</v>
      </c>
      <c r="B14" s="13"/>
      <c r="C14" s="73" t="s">
        <v>50</v>
      </c>
      <c r="D14" s="73"/>
    </row>
    <row r="15" spans="1:5" x14ac:dyDescent="0.3">
      <c r="A15" s="13"/>
      <c r="B15" s="13"/>
      <c r="C15" s="73"/>
      <c r="D15" s="73"/>
    </row>
    <row r="16" spans="1:5" ht="28.2" customHeight="1" x14ac:dyDescent="0.3">
      <c r="A16" s="68">
        <f>'Invoice - Region 5'!H4</f>
        <v>46168</v>
      </c>
      <c r="B16" s="39"/>
      <c r="C16" s="84"/>
      <c r="D16" s="84"/>
    </row>
    <row r="17" spans="1:6" x14ac:dyDescent="0.3">
      <c r="A17" s="23" t="s">
        <v>40</v>
      </c>
      <c r="B17" s="23"/>
      <c r="C17" s="74" t="s">
        <v>40</v>
      </c>
      <c r="D17" s="74"/>
      <c r="F17" s="6"/>
    </row>
    <row r="18" spans="1:6" x14ac:dyDescent="0.3">
      <c r="A18" s="23"/>
      <c r="B18" s="23"/>
      <c r="C18" s="23"/>
      <c r="D18" s="23"/>
    </row>
  </sheetData>
  <mergeCells count="16">
    <mergeCell ref="A9:B9"/>
    <mergeCell ref="C16:D16"/>
    <mergeCell ref="C17:D17"/>
    <mergeCell ref="A1:D1"/>
    <mergeCell ref="C10:D10"/>
    <mergeCell ref="C11:D11"/>
    <mergeCell ref="C12:D12"/>
    <mergeCell ref="C13:D13"/>
    <mergeCell ref="C14:D14"/>
    <mergeCell ref="C15:D15"/>
    <mergeCell ref="A3:B3"/>
    <mergeCell ref="A4:B4"/>
    <mergeCell ref="A5:B5"/>
    <mergeCell ref="A6:B6"/>
    <mergeCell ref="A7:B7"/>
    <mergeCell ref="A8:B8"/>
  </mergeCells>
  <pageMargins left="0.7" right="0.7" top="1.542" bottom="0.75" header="0.3" footer="0.3"/>
  <pageSetup paperSize="9" scale="96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E9FC0-82A8-4134-8CA5-56B4AA40BE03}">
  <sheetPr>
    <pageSetUpPr fitToPage="1"/>
  </sheetPr>
  <dimension ref="A1:G19"/>
  <sheetViews>
    <sheetView tabSelected="1" view="pageBreakPreview" zoomScaleNormal="100" zoomScaleSheetLayoutView="100" workbookViewId="0">
      <selection activeCell="J16" sqref="J16"/>
    </sheetView>
  </sheetViews>
  <sheetFormatPr defaultRowHeight="14.4" x14ac:dyDescent="0.3"/>
  <cols>
    <col min="1" max="1" width="25" bestFit="1" customWidth="1"/>
    <col min="2" max="2" width="19.21875" customWidth="1"/>
    <col min="3" max="3" width="5.44140625" customWidth="1"/>
    <col min="4" max="4" width="40.5546875" bestFit="1" customWidth="1"/>
    <col min="5" max="5" width="18.21875" customWidth="1"/>
    <col min="6" max="6" width="12.44140625" bestFit="1" customWidth="1"/>
    <col min="7" max="9" width="10.6640625" customWidth="1"/>
  </cols>
  <sheetData>
    <row r="1" spans="1:6" ht="19.2" x14ac:dyDescent="0.3">
      <c r="A1" s="72" t="s">
        <v>55</v>
      </c>
      <c r="B1" s="72"/>
      <c r="C1" s="72"/>
      <c r="D1" s="72"/>
      <c r="E1" s="72"/>
    </row>
    <row r="2" spans="1:6" ht="1.95" customHeight="1" x14ac:dyDescent="0.3">
      <c r="A2" s="9"/>
      <c r="B2" s="9"/>
      <c r="C2" s="9"/>
      <c r="D2" s="9"/>
      <c r="E2" s="9"/>
    </row>
    <row r="3" spans="1:6" ht="15.6" x14ac:dyDescent="0.3">
      <c r="A3" s="64" t="s">
        <v>56</v>
      </c>
      <c r="B3" s="76" t="s">
        <v>57</v>
      </c>
      <c r="C3" s="76"/>
      <c r="D3" s="64" t="s">
        <v>58</v>
      </c>
      <c r="E3" s="64" t="s">
        <v>59</v>
      </c>
      <c r="F3" s="40"/>
    </row>
    <row r="4" spans="1:6" x14ac:dyDescent="0.3">
      <c r="A4" s="65" t="s">
        <v>60</v>
      </c>
      <c r="B4" s="77">
        <v>6409065284082</v>
      </c>
      <c r="C4" s="77"/>
      <c r="D4" s="65" t="str">
        <f>UPPER('Invoice - Region 5'!B21)</f>
        <v>WALLMANSTHALL BERLIN</v>
      </c>
      <c r="E4" s="69" t="s">
        <v>61</v>
      </c>
    </row>
    <row r="5" spans="1:6" x14ac:dyDescent="0.3">
      <c r="A5" s="66" t="s">
        <v>62</v>
      </c>
      <c r="B5" s="78">
        <v>9507181286084</v>
      </c>
      <c r="C5" s="78"/>
      <c r="D5" s="66" t="str">
        <f>D4</f>
        <v>WALLMANSTHALL BERLIN</v>
      </c>
      <c r="E5" s="70" t="s">
        <v>63</v>
      </c>
    </row>
    <row r="6" spans="1:6" x14ac:dyDescent="0.3">
      <c r="A6" s="67" t="s">
        <v>64</v>
      </c>
      <c r="B6" s="79">
        <v>9706615300087</v>
      </c>
      <c r="C6" s="79"/>
      <c r="D6" s="67" t="str">
        <f>D5</f>
        <v>WALLMANSTHALL BERLIN</v>
      </c>
      <c r="E6" s="70" t="s">
        <v>63</v>
      </c>
    </row>
    <row r="7" spans="1:6" x14ac:dyDescent="0.3">
      <c r="A7" s="67" t="s">
        <v>65</v>
      </c>
      <c r="B7" s="79">
        <v>7407055418081</v>
      </c>
      <c r="C7" s="79"/>
      <c r="D7" s="67" t="s">
        <v>79</v>
      </c>
      <c r="E7" s="70" t="s">
        <v>61</v>
      </c>
    </row>
    <row r="8" spans="1:6" x14ac:dyDescent="0.3">
      <c r="A8" s="67" t="s">
        <v>66</v>
      </c>
      <c r="B8" s="79">
        <v>8811180906085</v>
      </c>
      <c r="C8" s="79"/>
      <c r="D8" s="67" t="s">
        <v>79</v>
      </c>
      <c r="E8" s="70" t="s">
        <v>63</v>
      </c>
    </row>
    <row r="9" spans="1:6" x14ac:dyDescent="0.3">
      <c r="A9" s="67" t="s">
        <v>71</v>
      </c>
      <c r="B9" s="82">
        <v>8810195855089</v>
      </c>
      <c r="C9" s="83"/>
      <c r="D9" s="67" t="s">
        <v>79</v>
      </c>
      <c r="E9" s="70" t="s">
        <v>72</v>
      </c>
    </row>
    <row r="10" spans="1:6" x14ac:dyDescent="0.3">
      <c r="A10" s="67" t="s">
        <v>73</v>
      </c>
      <c r="B10" s="80" t="s">
        <v>74</v>
      </c>
      <c r="C10" s="81"/>
      <c r="D10" s="67" t="s">
        <v>79</v>
      </c>
      <c r="E10" s="71" t="s">
        <v>72</v>
      </c>
    </row>
    <row r="11" spans="1:6" x14ac:dyDescent="0.3">
      <c r="A11" s="13"/>
      <c r="B11" s="13"/>
      <c r="C11" s="13"/>
      <c r="D11" s="73"/>
      <c r="E11" s="73"/>
    </row>
    <row r="12" spans="1:6" x14ac:dyDescent="0.3">
      <c r="A12" s="23" t="s">
        <v>49</v>
      </c>
      <c r="B12" s="23"/>
      <c r="C12" s="23"/>
      <c r="D12" s="74"/>
      <c r="E12" s="74"/>
    </row>
    <row r="13" spans="1:6" x14ac:dyDescent="0.3">
      <c r="A13" s="13"/>
      <c r="B13" s="13"/>
      <c r="C13" s="13"/>
      <c r="D13" s="73"/>
      <c r="E13" s="73"/>
      <c r="F13" s="32"/>
    </row>
    <row r="14" spans="1:6" ht="24" customHeight="1" x14ac:dyDescent="0.3">
      <c r="A14" s="75" t="e" vm="1">
        <v>#VALUE!</v>
      </c>
      <c r="B14" s="75"/>
      <c r="C14" s="13"/>
      <c r="D14" s="75"/>
      <c r="E14" s="75"/>
      <c r="F14" s="32"/>
    </row>
    <row r="15" spans="1:6" x14ac:dyDescent="0.3">
      <c r="A15" s="13" t="s">
        <v>50</v>
      </c>
      <c r="B15" s="13"/>
      <c r="C15" s="13"/>
      <c r="D15" s="73" t="s">
        <v>50</v>
      </c>
      <c r="E15" s="73"/>
    </row>
    <row r="16" spans="1:6" x14ac:dyDescent="0.3">
      <c r="A16" s="13"/>
      <c r="B16" s="13"/>
      <c r="C16" s="13"/>
      <c r="D16" s="73"/>
      <c r="E16" s="73"/>
    </row>
    <row r="17" spans="1:7" ht="28.2" customHeight="1" x14ac:dyDescent="0.3">
      <c r="A17" s="85">
        <f>'Invoice - Region 5'!H4</f>
        <v>46168</v>
      </c>
      <c r="B17" s="85"/>
      <c r="C17" s="39"/>
      <c r="D17" s="84"/>
      <c r="E17" s="84"/>
    </row>
    <row r="18" spans="1:7" x14ac:dyDescent="0.3">
      <c r="A18" s="23" t="s">
        <v>40</v>
      </c>
      <c r="B18" s="23"/>
      <c r="C18" s="23"/>
      <c r="D18" s="74" t="s">
        <v>40</v>
      </c>
      <c r="E18" s="74"/>
      <c r="G18" s="6"/>
    </row>
    <row r="19" spans="1:7" x14ac:dyDescent="0.3">
      <c r="A19" s="23"/>
      <c r="B19" s="23"/>
      <c r="C19" s="23"/>
      <c r="D19" s="23"/>
      <c r="E19" s="23"/>
    </row>
  </sheetData>
  <mergeCells count="19">
    <mergeCell ref="D16:E16"/>
    <mergeCell ref="D17:E17"/>
    <mergeCell ref="D18:E18"/>
    <mergeCell ref="A17:B17"/>
    <mergeCell ref="A14:B14"/>
    <mergeCell ref="D15:E15"/>
    <mergeCell ref="A1:E1"/>
    <mergeCell ref="D11:E11"/>
    <mergeCell ref="D12:E12"/>
    <mergeCell ref="D13:E13"/>
    <mergeCell ref="D14:E14"/>
    <mergeCell ref="B3:C3"/>
    <mergeCell ref="B4:C4"/>
    <mergeCell ref="B5:C5"/>
    <mergeCell ref="B6:C6"/>
    <mergeCell ref="B7:C7"/>
    <mergeCell ref="B8:C8"/>
    <mergeCell ref="B10:C10"/>
    <mergeCell ref="B9:C9"/>
  </mergeCells>
  <pageMargins left="0.7" right="0.7" top="1.542" bottom="0.75" header="0.3" footer="0.3"/>
  <pageSetup paperSize="9" scale="80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2d4ef4-b04a-4b31-a502-7b4d1ae74549">
      <Terms xmlns="http://schemas.microsoft.com/office/infopath/2007/PartnerControls"/>
    </lcf76f155ced4ddcb4097134ff3c332f>
    <TaxCatchAll xmlns="3e1fb217-3513-4a84-b39a-87d8fab7c42d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89B8502A024479EA1CF80A2D6DF12" ma:contentTypeVersion="13" ma:contentTypeDescription="Create a new document." ma:contentTypeScope="" ma:versionID="06526292a1cdf05ddd28290d9d5cefc0">
  <xsd:schema xmlns:xsd="http://www.w3.org/2001/XMLSchema" xmlns:xs="http://www.w3.org/2001/XMLSchema" xmlns:p="http://schemas.microsoft.com/office/2006/metadata/properties" xmlns:ns2="f62d4ef4-b04a-4b31-a502-7b4d1ae74549" xmlns:ns3="3e1fb217-3513-4a84-b39a-87d8fab7c42d" targetNamespace="http://schemas.microsoft.com/office/2006/metadata/properties" ma:root="true" ma:fieldsID="7c328d9dc756338876b7a8b0925a4062" ns2:_="" ns3:_="">
    <xsd:import namespace="f62d4ef4-b04a-4b31-a502-7b4d1ae74549"/>
    <xsd:import namespace="3e1fb217-3513-4a84-b39a-87d8fab7c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d4ef4-b04a-4b31-a502-7b4d1ae74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4de842-58e0-4cec-8a9b-39016af931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fb217-3513-4a84-b39a-87d8fab7c42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196097-f8ce-4c33-b49d-df6dd16643e2}" ma:internalName="TaxCatchAll" ma:showField="CatchAllData" ma:web="3e1fb217-3513-4a84-b39a-87d8fab7c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A508E1-F889-4FB4-81BC-717A64C59A25}">
  <ds:schemaRefs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3e1fb217-3513-4a84-b39a-87d8fab7c42d"/>
    <ds:schemaRef ds:uri="f62d4ef4-b04a-4b31-a502-7b4d1ae74549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FA869A8-131E-451C-9FA4-2F16F62B1A5D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26784D25-4DC5-41F4-B290-495E06B10E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2d4ef4-b04a-4b31-a502-7b4d1ae74549"/>
    <ds:schemaRef ds:uri="3e1fb217-3513-4a84-b39a-87d8fab7c4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81FFD73-7B6A-451A-BCD1-22579B3AE3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Invoice - Region 5</vt:lpstr>
      <vt:lpstr>Service Notes</vt:lpstr>
      <vt:lpstr>Clearning Schedule</vt:lpstr>
      <vt:lpstr>Employee List</vt:lpstr>
      <vt:lpstr>'Clearning Schedule'!Print_Area</vt:lpstr>
      <vt:lpstr>'Employee List'!Print_Area</vt:lpstr>
      <vt:lpstr>'Invoice - Region 5'!Print_Area</vt:lpstr>
      <vt:lpstr>'Service Notes'!Print_Area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STP Tenders</dc:creator>
  <cp:keywords/>
  <dc:description/>
  <cp:lastModifiedBy>Sithembe Accounts</cp:lastModifiedBy>
  <cp:revision/>
  <cp:lastPrinted>2026-06-03T06:22:22Z</cp:lastPrinted>
  <dcterms:created xsi:type="dcterms:W3CDTF">2015-06-05T18:17:20Z</dcterms:created>
  <dcterms:modified xsi:type="dcterms:W3CDTF">2026-06-03T06:23:21Z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0x0101004F889B8502A024479EA1CF80A2D6DF12</vt:lpwstr>
  </property>
  <property fmtid="{D5CDD505-2E9C-101B-9397-08002B2CF9AE}" pid="3" name="MediaServiceImageTags">
    <vt:lpwstr/>
  </property>
</Properties>
</file>