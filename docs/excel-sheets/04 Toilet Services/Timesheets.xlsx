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7 July/03 - HS 02 2025-26/04 Toilet Services/"/>
    </mc:Choice>
  </mc:AlternateContent>
  <xr:revisionPtr revIDLastSave="122" documentId="114_{338C733A-E202-4946-94FB-F8194C242524}" xr6:coauthVersionLast="47" xr6:coauthVersionMax="47" xr10:uidLastSave="{AC03843F-8262-4A8E-9F5B-EC430CB26233}"/>
  <bookViews>
    <workbookView xWindow="-120" yWindow="-120" windowWidth="29040" windowHeight="15720" tabRatio="870" xr2:uid="{00000000-000D-0000-FFFF-FFFF00000000}"/>
  </bookViews>
  <sheets>
    <sheet name="Timesheets R2" sheetId="14" r:id="rId1"/>
    <sheet name="Timesheets R5" sheetId="15" r:id="rId2"/>
    <sheet name="Fuel Usage" sheetId="16" r:id="rId3"/>
  </sheets>
  <definedNames>
    <definedName name="_xlnm.Print_Area" localSheetId="2">'Fuel Usage'!$A$1:$D$35</definedName>
    <definedName name="_xlnm.Print_Area" localSheetId="0">'Timesheets R2'!$A$1:$C$16</definedName>
    <definedName name="_xlnm.Print_Area" localSheetId="1">'Timesheets R5'!$A$1:$C$16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5" l="1"/>
  <c r="A6" i="15" s="1"/>
  <c r="A8" i="15" s="1"/>
  <c r="A10" i="15" s="1"/>
  <c r="A12" i="15" s="1"/>
  <c r="A14" i="15" s="1"/>
  <c r="B4" i="14"/>
  <c r="A6" i="14" s="1"/>
  <c r="A8" i="14" s="1"/>
  <c r="A10" i="14" s="1"/>
  <c r="A12" i="14" s="1"/>
  <c r="A14" i="14" s="1"/>
  <c r="A7" i="14" l="1"/>
  <c r="A9" i="14" s="1"/>
  <c r="A11" i="14" s="1"/>
  <c r="A13" i="14" s="1"/>
  <c r="A7" i="15"/>
  <c r="A9" i="15" s="1"/>
  <c r="A11" i="15" s="1"/>
  <c r="A13" i="15" s="1"/>
</calcChain>
</file>

<file path=xl/sharedStrings.xml><?xml version="1.0" encoding="utf-8"?>
<sst xmlns="http://schemas.openxmlformats.org/spreadsheetml/2006/main" count="21" uniqueCount="14">
  <si>
    <t>SIGNNATURE</t>
  </si>
  <si>
    <t>DATE</t>
  </si>
  <si>
    <t>Site Location:</t>
  </si>
  <si>
    <t>Employee Name:</t>
  </si>
  <si>
    <t>REMARKS / COMMENTS</t>
  </si>
  <si>
    <t>Region: 2</t>
  </si>
  <si>
    <t>Region: 5</t>
  </si>
  <si>
    <t>FUEL REGISTER - HHS 02 2025/26</t>
  </si>
  <si>
    <t>Driver Name:</t>
  </si>
  <si>
    <t>Truck No. Plate:</t>
  </si>
  <si>
    <t>LITERS</t>
  </si>
  <si>
    <t>PRICE PER LITER</t>
  </si>
  <si>
    <t>MILEAGE</t>
  </si>
  <si>
    <t>Start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</si>
</sst>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800]dddd\,\ mmmm\ dd\,\ yyyy"/>
    <numFmt numFmtId="165" formatCode="[$R-1C09]#,##0.00"/>
    <numFmt numFmtId="166" formatCode="dd\-mm\-yy;@"/>
    <numFmt numFmtId="168" formatCode="dddd\,/dd/mmmm/yyyy"/>
    <numFmt numFmtId="169" formatCode="\R\ #,##0.00"/>
    <numFmt numFmtId="171" formatCode="dd/mmmm/yyyy"/>
  </numFmts>
  <fonts count="1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1"/>
    </font>
    <font>
      <sz val="11"/>
      <color rgb="FF000000"/>
      <name val="Calibri"/>
      <family val="2"/>
    </font>
    <font>
      <sz val="16"/>
      <color rgb="FF000000"/>
      <name val="Calibri"/>
      <family val="2"/>
    </font>
    <font>
      <b/>
      <sz val="11"/>
      <color theme="0"/>
      <name val="Calibri"/>
      <family val="2"/>
    </font>
    <font>
      <b/>
      <sz val="14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1C4"/>
      </patternFill>
    </fill>
    <fill>
      <patternFill patternType="solid">
        <fgColor rgb="FF4472C4"/>
        <bgColor indexed="64"/>
      </patternFill>
    </fill>
    <fill>
      <patternFill patternType="solid">
        <fgColor rgb="FFFFFF99"/>
        <bgColor indexed="64"/>
      </patternFill>
    </fill>
  </fills>
  <borders count="7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/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2" fillId="0" borderId="0" xfId="0" applyFont="1" applyAlignment="1">
      <alignment wrapText="1"/>
    </xf>
    <xf numFmtId="0" fontId="2" fillId="0" borderId="0" xfId="0" quotePrefix="1" applyFont="1"/>
    <xf numFmtId="164" fontId="2" fillId="0" borderId="0" xfId="0" quotePrefix="1" applyNumberFormat="1" applyFont="1"/>
    <xf numFmtId="0" fontId="4" fillId="0" borderId="0" xfId="0" applyFont="1" applyAlignment="1">
      <alignment vertical="center"/>
    </xf>
    <xf numFmtId="165" fontId="2" fillId="0" borderId="0" xfId="0" applyNumberFormat="1" applyFont="1"/>
    <xf numFmtId="0" fontId="1" fillId="0" borderId="0" xfId="0" quotePrefix="1" applyFont="1"/>
    <xf numFmtId="0" fontId="5" fillId="0" borderId="0" xfId="0" applyFont="1" applyAlignment="1">
      <alignment vertical="top"/>
    </xf>
    <xf numFmtId="166" fontId="6" fillId="0" borderId="1" xfId="0" applyNumberFormat="1" applyFont="1" applyBorder="1" applyAlignment="1">
      <alignment horizontal="right" vertical="top" shrinkToFit="1"/>
    </xf>
    <xf numFmtId="0" fontId="8" fillId="2" borderId="1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center"/>
    </xf>
    <xf numFmtId="0" fontId="13" fillId="3" borderId="0" xfId="0" quotePrefix="1" applyFont="1" applyFill="1" applyAlignment="1">
      <alignment horizontal="center"/>
    </xf>
    <xf numFmtId="168" fontId="0" fillId="0" borderId="5" xfId="0" applyNumberFormat="1" applyBorder="1" applyAlignment="1">
      <alignment horizontal="left"/>
    </xf>
    <xf numFmtId="4" fontId="0" fillId="0" borderId="5" xfId="0" applyNumberFormat="1" applyBorder="1"/>
    <xf numFmtId="169" fontId="0" fillId="0" borderId="5" xfId="0" applyNumberFormat="1" applyBorder="1"/>
    <xf numFmtId="3" fontId="2" fillId="0" borderId="5" xfId="0" applyNumberFormat="1" applyFont="1" applyBorder="1"/>
    <xf numFmtId="3" fontId="1" fillId="0" borderId="5" xfId="0" quotePrefix="1" applyNumberFormat="1" applyFont="1" applyBorder="1"/>
    <xf numFmtId="3" fontId="0" fillId="0" borderId="5" xfId="0" applyNumberFormat="1" applyBorder="1"/>
    <xf numFmtId="3" fontId="3" fillId="0" borderId="5" xfId="0" applyNumberFormat="1" applyFont="1" applyBorder="1"/>
    <xf numFmtId="4" fontId="3" fillId="0" borderId="5" xfId="0" applyNumberFormat="1" applyFont="1" applyBorder="1"/>
    <xf numFmtId="169" fontId="3" fillId="0" borderId="5" xfId="0" applyNumberFormat="1" applyFont="1" applyBorder="1"/>
    <xf numFmtId="4" fontId="2" fillId="0" borderId="5" xfId="0" applyNumberFormat="1" applyFont="1" applyBorder="1"/>
    <xf numFmtId="169" fontId="2" fillId="0" borderId="5" xfId="0" applyNumberFormat="1" applyFont="1" applyBorder="1"/>
    <xf numFmtId="0" fontId="10" fillId="0" borderId="6" xfId="0" applyFont="1" applyBorder="1"/>
    <xf numFmtId="0" fontId="0" fillId="0" borderId="6" xfId="0" applyBorder="1"/>
    <xf numFmtId="0" fontId="11" fillId="0" borderId="0" xfId="0" applyFont="1" applyAlignment="1">
      <alignment horizontal="center"/>
    </xf>
    <xf numFmtId="166" fontId="9" fillId="0" borderId="2" xfId="0" applyNumberFormat="1" applyFont="1" applyBorder="1" applyAlignment="1">
      <alignment horizontal="left" vertical="center" shrinkToFit="1"/>
    </xf>
    <xf numFmtId="166" fontId="9" fillId="0" borderId="4" xfId="0" applyNumberFormat="1" applyFont="1" applyBorder="1" applyAlignment="1">
      <alignment horizontal="left" vertical="center" shrinkToFit="1"/>
    </xf>
    <xf numFmtId="168" fontId="7" fillId="0" borderId="1" xfId="0" applyNumberFormat="1" applyFont="1" applyBorder="1" applyAlignment="1">
      <alignment horizontal="left" vertical="center" shrinkToFit="1"/>
    </xf>
    <xf numFmtId="171" fontId="5" fillId="4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BFFD-E672-4E19-B6A5-F25BFBC4859E}">
  <sheetPr>
    <pageSetUpPr fitToPage="1"/>
  </sheetPr>
  <dimension ref="A1:D17"/>
  <sheetViews>
    <sheetView showGridLines="0" tabSelected="1" view="pageBreakPreview" topLeftCell="A2" zoomScaleNormal="100" zoomScaleSheetLayoutView="100" workbookViewId="0">
      <selection activeCell="E11" sqref="E11"/>
    </sheetView>
  </sheetViews>
  <sheetFormatPr defaultColWidth="28.85546875" defaultRowHeight="24.6" customHeight="1" x14ac:dyDescent="0.25"/>
  <cols>
    <col min="1" max="1" width="34.28515625" customWidth="1"/>
    <col min="2" max="2" width="42.28515625" customWidth="1"/>
    <col min="3" max="3" width="63.28515625" customWidth="1"/>
  </cols>
  <sheetData>
    <row r="1" spans="1:4" ht="40.9" customHeight="1" x14ac:dyDescent="0.25">
      <c r="A1" s="30" t="s">
        <v>3</v>
      </c>
      <c r="B1" s="31"/>
      <c r="C1" s="31"/>
    </row>
    <row r="2" spans="1:4" ht="40.9" customHeight="1" x14ac:dyDescent="0.25">
      <c r="A2" s="30" t="s">
        <v>2</v>
      </c>
      <c r="B2" s="31"/>
      <c r="C2" s="31"/>
      <c r="D2" s="7"/>
    </row>
    <row r="3" spans="1:4" ht="40.9" customHeight="1" x14ac:dyDescent="0.25">
      <c r="A3" s="30" t="s">
        <v>5</v>
      </c>
      <c r="B3" s="31"/>
      <c r="C3" s="31"/>
      <c r="D3" s="7"/>
    </row>
    <row r="4" spans="1:4" ht="24.6" customHeight="1" x14ac:dyDescent="0.25">
      <c r="A4" s="10" t="s">
        <v>13</v>
      </c>
      <c r="B4" s="33">
        <f ca="1">IF(DAY(TODAY())&gt;=20, DATE(YEAR(TODAY()), MONTH(TODAY()), 26), DATE(YEAR(TODAY()), MONTH(TODAY())-1, 26))</f>
        <v>46229</v>
      </c>
      <c r="C4" s="10"/>
      <c r="D4" s="3"/>
    </row>
    <row r="5" spans="1:4" ht="24.6" customHeight="1" x14ac:dyDescent="0.25">
      <c r="A5" s="12" t="s">
        <v>1</v>
      </c>
      <c r="B5" s="12" t="s">
        <v>0</v>
      </c>
      <c r="C5" s="13" t="s">
        <v>4</v>
      </c>
      <c r="D5" s="6"/>
    </row>
    <row r="6" spans="1:4" ht="40.15" customHeight="1" x14ac:dyDescent="0.25">
      <c r="A6" s="32">
        <f ca="1">B4-WEEKDAY(B4,2)+IF(WEEKDAY(B4,2)&gt;1,8,1)</f>
        <v>46230</v>
      </c>
      <c r="B6" s="11"/>
      <c r="C6" s="11"/>
      <c r="D6" s="4"/>
    </row>
    <row r="7" spans="1:4" ht="40.15" customHeight="1" x14ac:dyDescent="0.25">
      <c r="A7" s="32">
        <f ca="1">B4-WEEKDAY(B4,2)+IF(WEEKDAY(B4,2)&gt;4,11,4)</f>
        <v>46233</v>
      </c>
      <c r="B7" s="11"/>
      <c r="C7" s="11"/>
      <c r="D7" s="5"/>
    </row>
    <row r="8" spans="1:4" ht="40.15" customHeight="1" x14ac:dyDescent="0.25">
      <c r="A8" s="32">
        <f ca="1">A6+7</f>
        <v>46237</v>
      </c>
      <c r="B8" s="11"/>
      <c r="C8" s="11"/>
      <c r="D8" s="1"/>
    </row>
    <row r="9" spans="1:4" ht="40.15" customHeight="1" x14ac:dyDescent="0.25">
      <c r="A9" s="32">
        <f ca="1">A7+7</f>
        <v>46240</v>
      </c>
      <c r="B9" s="11"/>
      <c r="C9" s="11"/>
      <c r="D9" s="8"/>
    </row>
    <row r="10" spans="1:4" ht="40.15" customHeight="1" x14ac:dyDescent="0.25">
      <c r="A10" s="32">
        <f ca="1">A8+7</f>
        <v>46244</v>
      </c>
      <c r="B10" s="11"/>
      <c r="C10" s="11"/>
      <c r="D10" s="8"/>
    </row>
    <row r="11" spans="1:4" ht="40.15" customHeight="1" x14ac:dyDescent="0.25">
      <c r="A11" s="32">
        <f ca="1">A9+7</f>
        <v>46247</v>
      </c>
      <c r="B11" s="11"/>
      <c r="C11" s="11"/>
      <c r="D11" s="9"/>
    </row>
    <row r="12" spans="1:4" ht="40.15" customHeight="1" x14ac:dyDescent="0.25">
      <c r="A12" s="32">
        <f ca="1">A10+7</f>
        <v>46251</v>
      </c>
      <c r="B12" s="11"/>
      <c r="C12" s="11"/>
    </row>
    <row r="13" spans="1:4" ht="40.15" customHeight="1" x14ac:dyDescent="0.25">
      <c r="A13" s="32">
        <f ca="1">A11+7</f>
        <v>46254</v>
      </c>
      <c r="B13" s="11"/>
      <c r="C13" s="11"/>
      <c r="D13" s="2"/>
    </row>
    <row r="14" spans="1:4" ht="40.15" customHeight="1" x14ac:dyDescent="0.25">
      <c r="A14" s="32">
        <f ca="1">A12+7</f>
        <v>46258</v>
      </c>
      <c r="B14" s="11"/>
      <c r="C14" s="11"/>
      <c r="D14" s="2"/>
    </row>
    <row r="15" spans="1:4" ht="24.6" customHeight="1" x14ac:dyDescent="0.25">
      <c r="A15" s="2"/>
      <c r="B15" s="2"/>
      <c r="C15" s="2"/>
      <c r="D15" s="2"/>
    </row>
    <row r="16" spans="1:4" ht="24.6" customHeight="1" x14ac:dyDescent="0.25">
      <c r="A16" s="1"/>
      <c r="B16" s="1"/>
      <c r="C16" s="1"/>
      <c r="D16" s="1"/>
    </row>
    <row r="17" spans="1:4" ht="24.6" customHeight="1" x14ac:dyDescent="0.25">
      <c r="A17" s="1"/>
      <c r="B17" s="1"/>
      <c r="C17" s="1"/>
      <c r="D17" s="1"/>
    </row>
  </sheetData>
  <mergeCells count="3">
    <mergeCell ref="A1:C1"/>
    <mergeCell ref="A2:C2"/>
    <mergeCell ref="A3:C3"/>
  </mergeCells>
  <pageMargins left="0.7" right="0.7" top="1.3325" bottom="0.75" header="0.3" footer="0.3"/>
  <pageSetup paperSize="9" scale="62" fitToHeight="0" orientation="portrait" r:id="rId1"/>
  <headerFooter>
    <oddHeader>&amp;L&amp;"-,Bold"&amp;10SITHEMBE TRANSPORTATION AND PROJECTS  &amp;"-,Regular"
VAT No: 4070272101  
285 Erasmus Ave  
Raslouw AH  
Centuiron  
0157 &amp;11 &amp;Cwww.sithembe.co.za
info@sithembe.co.za
012 880 3155&amp;R&amp;G</oddHeader>
    <oddFooter>&amp;L&amp;"-,Italic"&amp;K00-017&amp;P of &amp;N&amp;R&amp;"-,Italic"&amp;K00-018Sithembe Transportation and Projects - HS 02 2025/26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0BC6-1339-499A-B2AA-B8F9EE8D4F30}">
  <sheetPr>
    <pageSetUpPr fitToPage="1"/>
  </sheetPr>
  <dimension ref="A1:D17"/>
  <sheetViews>
    <sheetView showGridLines="0" view="pageBreakPreview" topLeftCell="A2" zoomScaleNormal="100" zoomScaleSheetLayoutView="100" workbookViewId="0">
      <selection activeCell="D8" sqref="D8"/>
    </sheetView>
  </sheetViews>
  <sheetFormatPr defaultColWidth="28.85546875" defaultRowHeight="24.6" customHeight="1" x14ac:dyDescent="0.25"/>
  <cols>
    <col min="1" max="1" width="34.28515625" customWidth="1"/>
    <col min="2" max="2" width="42.28515625" customWidth="1"/>
    <col min="3" max="3" width="63.28515625" customWidth="1"/>
  </cols>
  <sheetData>
    <row r="1" spans="1:4" ht="40.9" customHeight="1" x14ac:dyDescent="0.25">
      <c r="A1" s="30" t="s">
        <v>3</v>
      </c>
      <c r="B1" s="31"/>
      <c r="C1" s="31"/>
    </row>
    <row r="2" spans="1:4" ht="40.9" customHeight="1" x14ac:dyDescent="0.25">
      <c r="A2" s="30" t="s">
        <v>2</v>
      </c>
      <c r="B2" s="31"/>
      <c r="C2" s="31"/>
      <c r="D2" s="7"/>
    </row>
    <row r="3" spans="1:4" ht="40.9" customHeight="1" x14ac:dyDescent="0.25">
      <c r="A3" s="30" t="s">
        <v>6</v>
      </c>
      <c r="B3" s="31"/>
      <c r="C3" s="31"/>
      <c r="D3" s="7"/>
    </row>
    <row r="4" spans="1:4" ht="24.6" customHeight="1" x14ac:dyDescent="0.25">
      <c r="A4" s="10" t="s">
        <v>13</v>
      </c>
      <c r="B4" s="33">
        <f ca="1">IF(DAY(TODAY())&gt;=20, DATE(YEAR(TODAY()), MONTH(TODAY()), 26), DATE(YEAR(TODAY()), MONTH(TODAY())-1, 26))</f>
        <v>46229</v>
      </c>
      <c r="C4" s="10"/>
      <c r="D4" s="3"/>
    </row>
    <row r="5" spans="1:4" ht="24.6" customHeight="1" x14ac:dyDescent="0.25">
      <c r="A5" s="12" t="s">
        <v>1</v>
      </c>
      <c r="B5" s="12" t="s">
        <v>0</v>
      </c>
      <c r="C5" s="13" t="s">
        <v>4</v>
      </c>
      <c r="D5" s="6"/>
    </row>
    <row r="6" spans="1:4" ht="40.15" customHeight="1" x14ac:dyDescent="0.25">
      <c r="A6" s="32">
        <f ca="1">B4-WEEKDAY(B4,2)+IF(WEEKDAY(B4,2)&gt;2,9,2)</f>
        <v>46231</v>
      </c>
      <c r="B6" s="11"/>
      <c r="C6" s="11"/>
      <c r="D6" s="4"/>
    </row>
    <row r="7" spans="1:4" ht="40.15" customHeight="1" x14ac:dyDescent="0.25">
      <c r="A7" s="32">
        <f ca="1">B4-WEEKDAY(B4,2)+IF(WEEKDAY(B4,2)&gt;5,12,5)</f>
        <v>46234</v>
      </c>
      <c r="B7" s="11"/>
      <c r="C7" s="11"/>
      <c r="D7" s="5"/>
    </row>
    <row r="8" spans="1:4" ht="40.15" customHeight="1" x14ac:dyDescent="0.25">
      <c r="A8" s="32">
        <f ca="1">A6+7</f>
        <v>46238</v>
      </c>
      <c r="B8" s="11"/>
      <c r="C8" s="11"/>
      <c r="D8" s="1"/>
    </row>
    <row r="9" spans="1:4" ht="40.15" customHeight="1" x14ac:dyDescent="0.25">
      <c r="A9" s="32">
        <f ca="1">A7+7</f>
        <v>46241</v>
      </c>
      <c r="B9" s="11"/>
      <c r="C9" s="11"/>
      <c r="D9" s="8"/>
    </row>
    <row r="10" spans="1:4" ht="40.15" customHeight="1" x14ac:dyDescent="0.25">
      <c r="A10" s="32">
        <f ca="1">A8+7</f>
        <v>46245</v>
      </c>
      <c r="B10" s="11"/>
      <c r="C10" s="11"/>
      <c r="D10" s="8"/>
    </row>
    <row r="11" spans="1:4" ht="40.15" customHeight="1" x14ac:dyDescent="0.25">
      <c r="A11" s="32">
        <f ca="1">A9+7</f>
        <v>46248</v>
      </c>
      <c r="B11" s="11"/>
      <c r="C11" s="11"/>
      <c r="D11" s="9"/>
    </row>
    <row r="12" spans="1:4" ht="40.15" customHeight="1" x14ac:dyDescent="0.25">
      <c r="A12" s="32">
        <f ca="1">A10+7</f>
        <v>46252</v>
      </c>
      <c r="B12" s="11"/>
      <c r="C12" s="11"/>
    </row>
    <row r="13" spans="1:4" ht="40.15" customHeight="1" x14ac:dyDescent="0.25">
      <c r="A13" s="32">
        <f ca="1">A11+7</f>
        <v>46255</v>
      </c>
      <c r="B13" s="11"/>
      <c r="C13" s="11"/>
      <c r="D13" s="2"/>
    </row>
    <row r="14" spans="1:4" ht="40.15" customHeight="1" x14ac:dyDescent="0.25">
      <c r="A14" s="32">
        <f ca="1">A12+7</f>
        <v>46259</v>
      </c>
      <c r="B14" s="11"/>
      <c r="C14" s="11"/>
      <c r="D14" s="2"/>
    </row>
    <row r="15" spans="1:4" ht="24.6" customHeight="1" x14ac:dyDescent="0.25">
      <c r="A15" s="2"/>
      <c r="B15" s="2"/>
      <c r="C15" s="2"/>
      <c r="D15" s="2"/>
    </row>
    <row r="16" spans="1:4" ht="24.6" customHeight="1" x14ac:dyDescent="0.25">
      <c r="A16" s="1"/>
      <c r="B16" s="1"/>
      <c r="C16" s="1"/>
      <c r="D16" s="1"/>
    </row>
    <row r="17" spans="1:4" ht="24.6" customHeight="1" x14ac:dyDescent="0.25">
      <c r="A17" s="1"/>
      <c r="B17" s="1"/>
      <c r="C17" s="1"/>
      <c r="D17" s="1"/>
    </row>
  </sheetData>
  <mergeCells count="3">
    <mergeCell ref="A1:C1"/>
    <mergeCell ref="A2:C2"/>
    <mergeCell ref="A3:C3"/>
  </mergeCells>
  <pageMargins left="0.7" right="0.7" top="1.3325" bottom="0.75" header="0.3" footer="0.3"/>
  <pageSetup paperSize="9" scale="62" fitToHeight="0" orientation="portrait" r:id="rId1"/>
  <headerFooter>
    <oddHeader>&amp;L&amp;"-,Bold"&amp;10SITHEMBE TRANSPORTATION AND PROJECTS  &amp;"-,Regular"
VAT No: 4070272101  
285 Erasmus Ave  
Raslouw AH  
Centuiron  
0157 &amp;11 &amp;Cwww.sithembe.co.za
info@sithembe.co.za
012 880 3155&amp;R&amp;G</oddHeader>
    <oddFooter>&amp;L&amp;"-,Italic"&amp;K00-017&amp;P of &amp;N&amp;R&amp;"-,Italic"&amp;K00-018Sithembe Transportation and Projects - HS 02 2025/26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69FE-AE06-45DB-86AB-3B7C8F3F1792}">
  <sheetPr>
    <pageSetUpPr fitToPage="1"/>
  </sheetPr>
  <dimension ref="A1:D35"/>
  <sheetViews>
    <sheetView showGridLines="0" view="pageBreakPreview" topLeftCell="A7" zoomScale="115" zoomScaleNormal="100" zoomScaleSheetLayoutView="115" workbookViewId="0">
      <selection activeCell="C39" sqref="C39"/>
    </sheetView>
  </sheetViews>
  <sheetFormatPr defaultColWidth="28.85546875" defaultRowHeight="24.6" customHeight="1" x14ac:dyDescent="0.25"/>
  <cols>
    <col min="1" max="1" width="34.28515625" customWidth="1"/>
    <col min="2" max="2" width="15.28515625" customWidth="1"/>
    <col min="3" max="3" width="21" customWidth="1"/>
    <col min="4" max="4" width="20.28515625" customWidth="1"/>
  </cols>
  <sheetData>
    <row r="1" spans="1:4" ht="18.75" customHeight="1" x14ac:dyDescent="0.25">
      <c r="A1" s="29" t="s">
        <v>7</v>
      </c>
      <c r="B1" s="29"/>
      <c r="C1" s="29"/>
      <c r="D1" s="29"/>
    </row>
    <row r="2" spans="1:4" ht="29.25" customHeight="1" x14ac:dyDescent="0.25">
      <c r="A2" s="27" t="s">
        <v>8</v>
      </c>
      <c r="B2" s="28"/>
      <c r="C2" s="28"/>
      <c r="D2" s="28"/>
    </row>
    <row r="3" spans="1:4" ht="32.25" customHeight="1" x14ac:dyDescent="0.25">
      <c r="A3" s="27" t="s">
        <v>9</v>
      </c>
      <c r="B3" s="28"/>
      <c r="C3" s="28"/>
      <c r="D3" s="28"/>
    </row>
    <row r="4" spans="1:4" ht="24" customHeight="1" x14ac:dyDescent="0.25">
      <c r="A4" s="14" t="s">
        <v>1</v>
      </c>
      <c r="B4" s="14" t="s">
        <v>10</v>
      </c>
      <c r="C4" s="14" t="s">
        <v>11</v>
      </c>
      <c r="D4" s="15" t="s">
        <v>12</v>
      </c>
    </row>
    <row r="5" spans="1:4" ht="18.95" customHeight="1" x14ac:dyDescent="0.25">
      <c r="A5" s="16">
        <v>46204</v>
      </c>
      <c r="B5" s="17"/>
      <c r="C5" s="18"/>
      <c r="D5" s="19"/>
    </row>
    <row r="6" spans="1:4" ht="18.95" customHeight="1" x14ac:dyDescent="0.25">
      <c r="A6" s="16">
        <v>46205</v>
      </c>
      <c r="B6" s="17"/>
      <c r="C6" s="18"/>
      <c r="D6" s="19"/>
    </row>
    <row r="7" spans="1:4" ht="18.95" customHeight="1" x14ac:dyDescent="0.25">
      <c r="A7" s="16">
        <v>46206</v>
      </c>
      <c r="B7" s="17"/>
      <c r="C7" s="18"/>
      <c r="D7" s="19"/>
    </row>
    <row r="8" spans="1:4" ht="18.95" customHeight="1" x14ac:dyDescent="0.25">
      <c r="A8" s="16">
        <v>46207</v>
      </c>
      <c r="B8" s="17"/>
      <c r="C8" s="18"/>
      <c r="D8" s="20"/>
    </row>
    <row r="9" spans="1:4" ht="18.95" customHeight="1" x14ac:dyDescent="0.25">
      <c r="A9" s="16">
        <v>46208</v>
      </c>
      <c r="B9" s="17"/>
      <c r="C9" s="18"/>
      <c r="D9" s="21"/>
    </row>
    <row r="10" spans="1:4" ht="18.95" customHeight="1" x14ac:dyDescent="0.25">
      <c r="A10" s="16">
        <v>46209</v>
      </c>
      <c r="B10" s="17"/>
      <c r="C10" s="18"/>
      <c r="D10" s="22"/>
    </row>
    <row r="11" spans="1:4" ht="18.95" customHeight="1" x14ac:dyDescent="0.25">
      <c r="A11" s="16">
        <v>46210</v>
      </c>
      <c r="B11" s="17"/>
      <c r="C11" s="18"/>
      <c r="D11" s="22"/>
    </row>
    <row r="12" spans="1:4" ht="18.95" customHeight="1" x14ac:dyDescent="0.25">
      <c r="A12" s="16">
        <v>46211</v>
      </c>
      <c r="B12" s="23"/>
      <c r="C12" s="24"/>
      <c r="D12" s="22"/>
    </row>
    <row r="13" spans="1:4" ht="18.95" customHeight="1" x14ac:dyDescent="0.25">
      <c r="A13" s="16">
        <v>46212</v>
      </c>
      <c r="B13" s="25"/>
      <c r="C13" s="26"/>
      <c r="D13" s="19"/>
    </row>
    <row r="14" spans="1:4" ht="18.95" customHeight="1" x14ac:dyDescent="0.25">
      <c r="A14" s="16">
        <v>46213</v>
      </c>
      <c r="B14" s="25"/>
      <c r="C14" s="26"/>
      <c r="D14" s="19"/>
    </row>
    <row r="15" spans="1:4" ht="18.95" customHeight="1" x14ac:dyDescent="0.25">
      <c r="A15" s="16">
        <v>46214</v>
      </c>
      <c r="B15" s="17"/>
      <c r="C15" s="18"/>
      <c r="D15" s="21"/>
    </row>
    <row r="16" spans="1:4" ht="18.95" customHeight="1" x14ac:dyDescent="0.25">
      <c r="A16" s="16">
        <v>46215</v>
      </c>
      <c r="B16" s="17"/>
      <c r="C16" s="18"/>
      <c r="D16" s="21"/>
    </row>
    <row r="17" spans="1:4" ht="18.95" customHeight="1" x14ac:dyDescent="0.25">
      <c r="A17" s="16">
        <v>46216</v>
      </c>
      <c r="B17" s="17"/>
      <c r="C17" s="18"/>
      <c r="D17" s="21"/>
    </row>
    <row r="18" spans="1:4" ht="18.95" customHeight="1" x14ac:dyDescent="0.25">
      <c r="A18" s="16">
        <v>46217</v>
      </c>
      <c r="B18" s="17"/>
      <c r="C18" s="18"/>
      <c r="D18" s="21"/>
    </row>
    <row r="19" spans="1:4" ht="18.95" customHeight="1" x14ac:dyDescent="0.25">
      <c r="A19" s="16">
        <v>46218</v>
      </c>
      <c r="B19" s="17"/>
      <c r="C19" s="18"/>
      <c r="D19" s="21"/>
    </row>
    <row r="20" spans="1:4" ht="18.95" customHeight="1" x14ac:dyDescent="0.25">
      <c r="A20" s="16">
        <v>46219</v>
      </c>
      <c r="B20" s="17"/>
      <c r="C20" s="18"/>
      <c r="D20" s="21"/>
    </row>
    <row r="21" spans="1:4" ht="18.95" customHeight="1" x14ac:dyDescent="0.25">
      <c r="A21" s="16">
        <v>46220</v>
      </c>
      <c r="B21" s="17"/>
      <c r="C21" s="18"/>
      <c r="D21" s="21"/>
    </row>
    <row r="22" spans="1:4" ht="18.95" customHeight="1" x14ac:dyDescent="0.25">
      <c r="A22" s="16">
        <v>46221</v>
      </c>
      <c r="B22" s="17"/>
      <c r="C22" s="18"/>
      <c r="D22" s="21"/>
    </row>
    <row r="23" spans="1:4" ht="18.95" customHeight="1" x14ac:dyDescent="0.25">
      <c r="A23" s="16">
        <v>46222</v>
      </c>
      <c r="B23" s="17"/>
      <c r="C23" s="18"/>
      <c r="D23" s="21"/>
    </row>
    <row r="24" spans="1:4" ht="18.95" customHeight="1" x14ac:dyDescent="0.25">
      <c r="A24" s="16">
        <v>46223</v>
      </c>
      <c r="B24" s="17"/>
      <c r="C24" s="18"/>
      <c r="D24" s="21"/>
    </row>
    <row r="25" spans="1:4" ht="18.95" customHeight="1" x14ac:dyDescent="0.25">
      <c r="A25" s="16">
        <v>46224</v>
      </c>
      <c r="B25" s="17"/>
      <c r="C25" s="18"/>
      <c r="D25" s="21"/>
    </row>
    <row r="26" spans="1:4" ht="18.95" customHeight="1" x14ac:dyDescent="0.25">
      <c r="A26" s="16">
        <v>46225</v>
      </c>
      <c r="B26" s="17"/>
      <c r="C26" s="18"/>
      <c r="D26" s="21"/>
    </row>
    <row r="27" spans="1:4" ht="18.95" customHeight="1" x14ac:dyDescent="0.25">
      <c r="A27" s="16">
        <v>46226</v>
      </c>
      <c r="B27" s="17"/>
      <c r="C27" s="18"/>
      <c r="D27" s="21"/>
    </row>
    <row r="28" spans="1:4" ht="18.95" customHeight="1" x14ac:dyDescent="0.25">
      <c r="A28" s="16">
        <v>46227</v>
      </c>
      <c r="B28" s="17"/>
      <c r="C28" s="18"/>
      <c r="D28" s="21"/>
    </row>
    <row r="29" spans="1:4" ht="18.95" customHeight="1" x14ac:dyDescent="0.25">
      <c r="A29" s="16">
        <v>46228</v>
      </c>
      <c r="B29" s="17"/>
      <c r="C29" s="18"/>
      <c r="D29" s="21"/>
    </row>
    <row r="30" spans="1:4" ht="18.95" customHeight="1" x14ac:dyDescent="0.25">
      <c r="A30" s="16">
        <v>46229</v>
      </c>
      <c r="B30" s="17"/>
      <c r="C30" s="18"/>
      <c r="D30" s="21"/>
    </row>
    <row r="31" spans="1:4" ht="18.95" customHeight="1" x14ac:dyDescent="0.25">
      <c r="A31" s="16">
        <v>46230</v>
      </c>
      <c r="B31" s="17"/>
      <c r="C31" s="18"/>
      <c r="D31" s="21"/>
    </row>
    <row r="32" spans="1:4" ht="18.95" customHeight="1" x14ac:dyDescent="0.25">
      <c r="A32" s="16">
        <v>46231</v>
      </c>
      <c r="B32" s="17"/>
      <c r="C32" s="18"/>
      <c r="D32" s="21"/>
    </row>
    <row r="33" spans="1:4" ht="18.95" customHeight="1" x14ac:dyDescent="0.25">
      <c r="A33" s="16">
        <v>46232</v>
      </c>
      <c r="B33" s="17"/>
      <c r="C33" s="18"/>
      <c r="D33" s="21"/>
    </row>
    <row r="34" spans="1:4" ht="18.95" customHeight="1" x14ac:dyDescent="0.25">
      <c r="A34" s="16">
        <v>46233</v>
      </c>
      <c r="B34" s="17"/>
      <c r="C34" s="18"/>
      <c r="D34" s="21"/>
    </row>
    <row r="35" spans="1:4" ht="18.95" customHeight="1" x14ac:dyDescent="0.25">
      <c r="A35" s="16">
        <v>46234</v>
      </c>
      <c r="B35" s="17"/>
      <c r="C35" s="18"/>
      <c r="D35" s="21"/>
    </row>
  </sheetData>
  <mergeCells count="3">
    <mergeCell ref="B3:D3"/>
    <mergeCell ref="A1:D1"/>
    <mergeCell ref="B2:D2"/>
  </mergeCells>
  <printOptions horizontalCentered="1"/>
  <pageMargins left="6.9444444444444441E-3" right="6.9444444444444441E-3" top="1.3229166666666667" bottom="0.69791666666666663" header="0.3" footer="0.3"/>
  <pageSetup paperSize="9" fitToHeight="0" orientation="portrait" r:id="rId1"/>
  <headerFooter>
    <oddHeader>&amp;L&amp;"-,Bold"&amp;10SITHEMBE TRANSPORTATION AND PROJECTS  &amp;"-,Regular"
VAT No: 4070272101  
285 Erasmus Ave  
Raslouw AH  
Centuiron  
0157 &amp;11 &amp;Cwww.sithembe.co.za
info@sithembe.co.za
012 880 3155&amp;R&amp;G</oddHeader>
    <oddFooter>&amp;L&amp;"-,Italic"&amp;K00-017&amp;P of &amp;N&amp;R&amp;"-,Italic"&amp;K00-018Sithembe Transportation and Projects - HS 02 2025/26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B5ACD871-9B65-4404-9DB7-5C6C42A16F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A508E1-F889-4FB4-81BC-717A64C59A25}">
  <ds:schemaRefs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3e1fb217-3513-4a84-b39a-87d8fab7c42d"/>
    <ds:schemaRef ds:uri="http://schemas.microsoft.com/office/2006/metadata/properties"/>
    <ds:schemaRef ds:uri="http://purl.org/dc/terms/"/>
    <ds:schemaRef ds:uri="f62d4ef4-b04a-4b31-a502-7b4d1ae74549"/>
    <ds:schemaRef ds:uri="http://schemas.openxmlformats.org/package/2006/metadata/core-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Timesheets R2</vt:lpstr>
      <vt:lpstr>Timesheets R5</vt:lpstr>
      <vt:lpstr>Fuel Usage</vt:lpstr>
      <vt:lpstr>'Fuel Usage'!Print_Area</vt:lpstr>
      <vt:lpstr>'Timesheets R2'!Print_Area</vt:lpstr>
      <vt:lpstr>'Timesheets R5'!Print_Area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2026-07-22T08:56:17Z</cp:lastPrinted>
  <dcterms:created xsi:type="dcterms:W3CDTF">2015-06-05T18:17:20Z</dcterms:created>
  <dcterms:modified xsi:type="dcterms:W3CDTF">2026-07-22T09:04:28Z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