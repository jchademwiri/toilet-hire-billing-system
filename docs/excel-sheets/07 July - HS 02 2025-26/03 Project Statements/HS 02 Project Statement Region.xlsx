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7 July/03 - HS 02 2025-26/03 Project Statements/"/>
    </mc:Choice>
  </mc:AlternateContent>
  <xr:revisionPtr revIDLastSave="678" documentId="8_{0192D81B-B65E-4BA2-8AAC-721E7035FB94}" xr6:coauthVersionLast="47" xr6:coauthVersionMax="47" xr10:uidLastSave="{0B91266D-3B45-4853-A813-4E78A1E3BB94}"/>
  <bookViews>
    <workbookView xWindow="-120" yWindow="-120" windowWidth="29040" windowHeight="15720" tabRatio="870" xr2:uid="{00000000-000D-0000-FFFF-FFFF00000000}"/>
  </bookViews>
  <sheets>
    <sheet name="Invoice - Region 2" sheetId="14" r:id="rId1"/>
    <sheet name="Invoice - Region 5" sheetId="16" r:id="rId2"/>
    <sheet name="Invoice - Region 5-Leeuwfontein" sheetId="17" r:id="rId3"/>
    <sheet name="Config" sheetId="18" r:id="rId4"/>
  </sheets>
  <definedNames>
    <definedName name="_xlnm.Print_Area" localSheetId="0">'Invoice - Region 2'!$A$1:$H$39</definedName>
    <definedName name="_xlnm.Print_Area" localSheetId="1">'Invoice - Region 5'!$A$1:$H$39</definedName>
    <definedName name="_xlnm.Print_Area" localSheetId="2">'Invoice - Region 5-Leeuwfontein'!$A$1:$H$39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8" l="1"/>
  <c r="H32" i="17"/>
  <c r="H32" i="16"/>
  <c r="H32" i="14"/>
  <c r="G9" i="17"/>
  <c r="B33" i="17" s="1"/>
  <c r="G9" i="16"/>
  <c r="B33" i="16" s="1"/>
  <c r="G9" i="14"/>
  <c r="C33" i="14" s="1"/>
  <c r="H30" i="17"/>
  <c r="F30" i="17"/>
  <c r="G30" i="17" s="1"/>
  <c r="E30" i="17"/>
  <c r="C30" i="17"/>
  <c r="H29" i="17"/>
  <c r="F29" i="17"/>
  <c r="G29" i="17" s="1"/>
  <c r="E29" i="17"/>
  <c r="C29" i="17"/>
  <c r="H28" i="17"/>
  <c r="G28" i="17"/>
  <c r="F28" i="17"/>
  <c r="E28" i="17"/>
  <c r="C28" i="17"/>
  <c r="H27" i="17"/>
  <c r="F27" i="17"/>
  <c r="G27" i="17" s="1"/>
  <c r="E27" i="17"/>
  <c r="C27" i="17"/>
  <c r="H26" i="17"/>
  <c r="F26" i="17"/>
  <c r="G26" i="17" s="1"/>
  <c r="E26" i="17"/>
  <c r="C26" i="17"/>
  <c r="H25" i="17"/>
  <c r="F25" i="17"/>
  <c r="G25" i="17" s="1"/>
  <c r="E25" i="17"/>
  <c r="C25" i="17"/>
  <c r="H24" i="17"/>
  <c r="F24" i="17"/>
  <c r="G24" i="17" s="1"/>
  <c r="E24" i="17"/>
  <c r="C24" i="17"/>
  <c r="H23" i="17"/>
  <c r="F23" i="17"/>
  <c r="G23" i="17" s="1"/>
  <c r="E23" i="17"/>
  <c r="C23" i="17"/>
  <c r="H22" i="17"/>
  <c r="F22" i="17"/>
  <c r="G22" i="17" s="1"/>
  <c r="E22" i="17"/>
  <c r="C22" i="17"/>
  <c r="H21" i="17"/>
  <c r="G21" i="17"/>
  <c r="F21" i="17"/>
  <c r="E21" i="17"/>
  <c r="C21" i="17"/>
  <c r="H20" i="17"/>
  <c r="F20" i="17"/>
  <c r="G20" i="17" s="1"/>
  <c r="E20" i="17"/>
  <c r="C20" i="17"/>
  <c r="H19" i="17"/>
  <c r="F19" i="17"/>
  <c r="G19" i="17" s="1"/>
  <c r="E19" i="17"/>
  <c r="C19" i="17"/>
  <c r="H18" i="17"/>
  <c r="G18" i="17"/>
  <c r="F18" i="17"/>
  <c r="E18" i="17"/>
  <c r="C18" i="17"/>
  <c r="H17" i="17"/>
  <c r="F17" i="17"/>
  <c r="G17" i="17" s="1"/>
  <c r="E17" i="17"/>
  <c r="C17" i="17"/>
  <c r="H16" i="17"/>
  <c r="F16" i="17"/>
  <c r="G16" i="17" s="1"/>
  <c r="E16" i="17"/>
  <c r="C16" i="17"/>
  <c r="H15" i="17"/>
  <c r="E15" i="17"/>
  <c r="F15" i="17" s="1"/>
  <c r="G15" i="17" s="1"/>
  <c r="C15" i="17"/>
  <c r="H14" i="17"/>
  <c r="F14" i="17"/>
  <c r="G14" i="17" s="1"/>
  <c r="E14" i="17"/>
  <c r="C14" i="17"/>
  <c r="H13" i="17"/>
  <c r="E13" i="17"/>
  <c r="F13" i="17" s="1"/>
  <c r="C13" i="17"/>
  <c r="E12" i="17"/>
  <c r="F12" i="17" s="1"/>
  <c r="C12" i="17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G12" i="16"/>
  <c r="G13" i="16"/>
  <c r="G14" i="16"/>
  <c r="G15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F12" i="16"/>
  <c r="F13" i="16"/>
  <c r="F14" i="16"/>
  <c r="F15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E12" i="16"/>
  <c r="E13" i="16"/>
  <c r="E14" i="16"/>
  <c r="E15" i="16"/>
  <c r="E16" i="16"/>
  <c r="F16" i="16" s="1"/>
  <c r="G16" i="16" s="1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3" i="17" l="1"/>
  <c r="D33" i="17"/>
  <c r="C33" i="17"/>
  <c r="E33" i="16"/>
  <c r="D33" i="16"/>
  <c r="C33" i="16"/>
  <c r="E33" i="14"/>
  <c r="D33" i="14"/>
  <c r="B33" i="14"/>
  <c r="H12" i="17"/>
  <c r="G12" i="17"/>
  <c r="G13" i="17"/>
</calcChain>
</file>

<file path=xl/sharedStrings.xml><?xml version="1.0" encoding="utf-8"?>
<sst xmlns="http://schemas.openxmlformats.org/spreadsheetml/2006/main" count="108" uniqueCount="57">
  <si>
    <t>Tel: 012 880 3155  |  Cell: 073 124 1535  |  Fax: 086 603 7935</t>
  </si>
  <si>
    <t>Reg No: 2013/029173/07 |  www.sithembe.co.za</t>
  </si>
  <si>
    <t>Email: accounts@sithembe.co.za  |  info@sithembe.co.za</t>
  </si>
  <si>
    <t>Contract Ref: HS 02-2025/26</t>
  </si>
  <si>
    <t>City of Tshwane</t>
  </si>
  <si>
    <t>PO Box 6338</t>
  </si>
  <si>
    <t>Pretoria</t>
  </si>
  <si>
    <t>0001</t>
  </si>
  <si>
    <t>Date</t>
  </si>
  <si>
    <t>VAToilet Number: 4070272101 | Vendor No: 101776</t>
  </si>
  <si>
    <t>STATEMENT TO:</t>
  </si>
  <si>
    <t>PROJECT STATEMENT</t>
  </si>
  <si>
    <t>Invoice Number</t>
  </si>
  <si>
    <t>Description</t>
  </si>
  <si>
    <t>Sub Total</t>
  </si>
  <si>
    <t>VAT</t>
  </si>
  <si>
    <t>Total</t>
  </si>
  <si>
    <t>Debit</t>
  </si>
  <si>
    <t>Credit</t>
  </si>
  <si>
    <t>STP-INV-26-0353</t>
  </si>
  <si>
    <t>STATUS</t>
  </si>
  <si>
    <t>Amount Due</t>
  </si>
  <si>
    <t>Current</t>
  </si>
  <si>
    <t>30 Days</t>
  </si>
  <si>
    <t>60 Days</t>
  </si>
  <si>
    <t>90+ Days</t>
  </si>
  <si>
    <t>STP-INV-26-0331</t>
  </si>
  <si>
    <t>STP-INV-26-0370</t>
  </si>
  <si>
    <t>STP-INV-26-0371</t>
  </si>
  <si>
    <t>STP-INV-26-0377</t>
  </si>
  <si>
    <t>STP-INV-26-0378</t>
  </si>
  <si>
    <t>STP-INV-26-0389</t>
  </si>
  <si>
    <t>STP-INV-26-0388</t>
  </si>
  <si>
    <t>STP-INV-26-0396</t>
  </si>
  <si>
    <t>STP-INV-26-0397</t>
  </si>
  <si>
    <t>STP-INV-26-0398</t>
  </si>
  <si>
    <t>Setting</t>
  </si>
  <si>
    <t>Value</t>
  </si>
  <si>
    <t>Statement Day</t>
  </si>
  <si>
    <t>Statement Cutoff Day</t>
  </si>
  <si>
    <t>VAT Rate</t>
  </si>
  <si>
    <t>Invoice Cycle Start Day</t>
  </si>
  <si>
    <t>Invoice Cycle End Day</t>
  </si>
  <si>
    <t>Financial Year End Override</t>
  </si>
  <si>
    <t>Day of month for statement date (normally 26)</t>
  </si>
  <si>
    <t>Day when statement rolls to current month (was 5, now 10)</t>
  </si>
  <si>
    <t>VAT percentage (15% = 0.15)</t>
  </si>
  <si>
    <t>Billing cycle starts on this day of previous month</t>
  </si>
  <si>
    <t>Billing cycle ends on this day of current month</t>
  </si>
  <si>
    <t>Leave blank for normal. Enter date (e.g., 30 June 2026) for year-end adjustment</t>
  </si>
  <si>
    <t>📝 NOTES &amp; INSTRUCTIONS</t>
  </si>
  <si>
    <t>• Statement Day (B2): Normally 26 - the day your statement date shows</t>
  </si>
  <si>
    <t>• Cutoff Day (B3): Change to 10 - statement rolls to current month after the 10th</t>
  </si>
  <si>
    <t>• Aging now calculates based on Statement Date (G9), not today's date</t>
  </si>
  <si>
    <t>• For June year-end: Change Statement Day to 30 temporarily</t>
  </si>
  <si>
    <t>• Remember to change it back to 26 after year-end invoicing</t>
  </si>
  <si>
    <t>Current Statement Date: Shows 26 July 2026 (because today is after the 10th)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</si>
</sst>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164" formatCode="_-[$R-1C09]* #,##0.00_-;\-[$R-1C09]* #,##0.00_-;_-[$R-1C09]* &quot;-&quot;??_-;_-@_-"/>
    <numFmt numFmtId="165" formatCode="dd/mmmm/yyyy"/>
    <numFmt numFmtId="166" formatCode="\R#,##0.00"/>
  </numFmts>
  <fonts count="3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7F8C8D"/>
      <name val="Arial"/>
      <family val="2"/>
    </font>
    <font>
      <sz val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18"/>
      <color theme="0"/>
      <name val="Arial"/>
      <family val="2"/>
    </font>
    <font>
      <b/>
      <sz val="10"/>
      <color rgb="FFE8820C"/>
      <name val="Arial"/>
      <family val="2"/>
    </font>
    <font>
      <sz val="9"/>
      <color theme="0" tint="-0.499984740745262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0" tint="-0.499984740745262"/>
      <name val="Arial"/>
      <family val="2"/>
    </font>
    <font>
      <sz val="10"/>
      <name val="Calibri"/>
      <family val="2"/>
      <scheme val="minor"/>
    </font>
    <font>
      <i/>
      <sz val="8"/>
      <name val="Arial"/>
      <family val="2"/>
    </font>
    <font>
      <sz val="10"/>
      <name val="Arial"/>
      <family val="2"/>
    </font>
    <font>
      <b/>
      <sz val="12"/>
      <color theme="0" tint="-0.499984740745262"/>
      <name val="Calibri"/>
      <family val="2"/>
      <scheme val="minor"/>
    </font>
    <font>
      <b/>
      <sz val="12"/>
      <color theme="0" tint="-0.499984740745262"/>
      <name val="Arial"/>
      <family val="2"/>
    </font>
    <font>
      <i/>
      <sz val="9"/>
      <name val="Aptos"/>
      <family val="2"/>
    </font>
    <font>
      <sz val="9"/>
      <name val="Aptos"/>
      <family val="2"/>
    </font>
    <font>
      <b/>
      <i/>
      <sz val="12"/>
      <color theme="1" tint="0.249977111117893"/>
      <name val="Arial"/>
      <family val="2"/>
    </font>
    <font>
      <b/>
      <i/>
      <sz val="9"/>
      <color theme="0" tint="-0.499984740745262"/>
      <name val="Arial"/>
      <family val="2"/>
    </font>
    <font>
      <b/>
      <i/>
      <sz val="10"/>
      <name val="Aptos"/>
      <family val="2"/>
    </font>
    <font>
      <b/>
      <sz val="10"/>
      <color theme="9"/>
      <name val="Arial"/>
      <family val="2"/>
    </font>
    <font>
      <b/>
      <sz val="9"/>
      <color theme="9"/>
      <name val="Arial"/>
      <family val="2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2"/>
      <color theme="9"/>
      <name val="Calibri"/>
      <family val="2"/>
      <scheme val="minor"/>
    </font>
    <font>
      <i/>
      <sz val="8"/>
      <color theme="9"/>
      <name val="Arial"/>
      <family val="2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002060"/>
        <bgColor rgb="FF1C2833"/>
      </patternFill>
    </fill>
    <fill>
      <patternFill patternType="solid">
        <fgColor rgb="FF4472C4"/>
        <bgColor indexed="64"/>
      </patternFill>
    </fill>
  </fills>
  <borders count="9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0" fillId="2" borderId="0" xfId="0" applyFill="1"/>
    <xf numFmtId="44" fontId="0" fillId="0" borderId="0" xfId="0" applyNumberFormat="1"/>
    <xf numFmtId="0" fontId="12" fillId="0" borderId="0" xfId="0" applyFont="1"/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2" fillId="0" borderId="0" xfId="0" applyFont="1"/>
    <xf numFmtId="0" fontId="22" fillId="0" borderId="0" xfId="0" applyFont="1" applyAlignment="1">
      <alignment vertical="top"/>
    </xf>
    <xf numFmtId="0" fontId="25" fillId="0" borderId="2" xfId="0" applyFont="1" applyBorder="1" applyAlignment="1">
      <alignment vertical="center"/>
    </xf>
    <xf numFmtId="0" fontId="25" fillId="0" borderId="2" xfId="0" applyFont="1" applyBorder="1" applyAlignment="1">
      <alignment horizontal="right" vertical="center"/>
    </xf>
    <xf numFmtId="0" fontId="22" fillId="0" borderId="3" xfId="0" applyFont="1" applyBorder="1" applyAlignment="1">
      <alignment vertical="top"/>
    </xf>
    <xf numFmtId="0" fontId="26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2" fillId="0" borderId="4" xfId="0" applyFont="1" applyBorder="1" applyAlignment="1">
      <alignment vertical="top"/>
    </xf>
    <xf numFmtId="0" fontId="24" fillId="0" borderId="5" xfId="0" applyFont="1" applyBorder="1"/>
    <xf numFmtId="0" fontId="25" fillId="0" borderId="6" xfId="0" applyFont="1" applyBorder="1" applyAlignment="1">
      <alignment horizontal="right" vertical="center"/>
    </xf>
    <xf numFmtId="0" fontId="13" fillId="0" borderId="0" xfId="0" applyFont="1"/>
    <xf numFmtId="0" fontId="23" fillId="0" borderId="1" xfId="0" applyFont="1" applyBorder="1" applyAlignment="1" applyProtection="1">
      <alignment vertical="center"/>
      <protection locked="0"/>
    </xf>
    <xf numFmtId="44" fontId="17" fillId="0" borderId="1" xfId="1" applyFont="1" applyBorder="1" applyAlignment="1" applyProtection="1">
      <alignment vertical="center"/>
      <protection locked="0"/>
    </xf>
    <xf numFmtId="0" fontId="23" fillId="0" borderId="7" xfId="0" applyFont="1" applyBorder="1" applyAlignment="1" applyProtection="1">
      <alignment vertical="center"/>
      <protection locked="0"/>
    </xf>
    <xf numFmtId="44" fontId="17" fillId="0" borderId="7" xfId="1" applyFont="1" applyBorder="1" applyAlignment="1" applyProtection="1">
      <alignment vertical="center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1" fontId="7" fillId="0" borderId="7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1" fontId="7" fillId="0" borderId="0" xfId="0" applyNumberFormat="1" applyFont="1" applyAlignment="1" applyProtection="1">
      <alignment horizontal="center" vertical="center"/>
      <protection locked="0"/>
    </xf>
    <xf numFmtId="0" fontId="12" fillId="0" borderId="0" xfId="0" quotePrefix="1" applyFont="1" applyProtection="1">
      <protection locked="0"/>
    </xf>
    <xf numFmtId="0" fontId="16" fillId="0" borderId="0" xfId="0" applyFont="1" applyProtection="1">
      <protection locked="0"/>
    </xf>
    <xf numFmtId="0" fontId="17" fillId="0" borderId="0" xfId="0" applyFont="1" applyAlignment="1" applyProtection="1">
      <alignment vertical="center"/>
      <protection locked="0"/>
    </xf>
    <xf numFmtId="0" fontId="18" fillId="0" borderId="0" xfId="0" applyFont="1" applyProtection="1">
      <protection locked="0"/>
    </xf>
    <xf numFmtId="0" fontId="11" fillId="0" borderId="0" xfId="0" applyFont="1" applyAlignment="1" applyProtection="1">
      <alignment vertical="center"/>
      <protection locked="0"/>
    </xf>
    <xf numFmtId="0" fontId="14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0" fillId="0" borderId="0" xfId="0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4" fontId="17" fillId="0" borderId="1" xfId="1" applyFont="1" applyBorder="1" applyAlignment="1" applyProtection="1">
      <alignment horizontal="right" vertical="center"/>
    </xf>
    <xf numFmtId="44" fontId="17" fillId="0" borderId="1" xfId="0" applyNumberFormat="1" applyFont="1" applyBorder="1" applyAlignment="1">
      <alignment vertical="center"/>
    </xf>
    <xf numFmtId="44" fontId="31" fillId="0" borderId="1" xfId="1" applyFont="1" applyBorder="1" applyAlignment="1" applyProtection="1">
      <alignment horizontal="right" vertical="center"/>
    </xf>
    <xf numFmtId="44" fontId="17" fillId="0" borderId="7" xfId="1" applyFont="1" applyBorder="1" applyAlignment="1" applyProtection="1">
      <alignment horizontal="right" vertical="center"/>
    </xf>
    <xf numFmtId="44" fontId="17" fillId="0" borderId="7" xfId="0" applyNumberFormat="1" applyFont="1" applyBorder="1" applyAlignment="1">
      <alignment vertical="center"/>
    </xf>
    <xf numFmtId="44" fontId="31" fillId="0" borderId="7" xfId="1" applyFont="1" applyBorder="1" applyAlignment="1" applyProtection="1">
      <alignment horizontal="right" vertical="center"/>
    </xf>
    <xf numFmtId="44" fontId="7" fillId="0" borderId="7" xfId="1" applyFont="1" applyFill="1" applyBorder="1" applyAlignment="1" applyProtection="1">
      <alignment horizontal="right" vertical="center"/>
    </xf>
    <xf numFmtId="1" fontId="7" fillId="0" borderId="7" xfId="0" applyNumberFormat="1" applyFont="1" applyBorder="1" applyAlignment="1">
      <alignment horizontal="center" vertical="center"/>
    </xf>
    <xf numFmtId="44" fontId="32" fillId="0" borderId="7" xfId="1" applyFont="1" applyFill="1" applyBorder="1" applyAlignment="1" applyProtection="1">
      <alignment horizontal="right" vertical="center"/>
    </xf>
    <xf numFmtId="4" fontId="7" fillId="0" borderId="0" xfId="0" applyNumberFormat="1" applyFont="1" applyAlignment="1">
      <alignment horizontal="right" vertical="center"/>
    </xf>
    <xf numFmtId="1" fontId="7" fillId="0" borderId="0" xfId="1" applyNumberFormat="1" applyFont="1" applyFill="1" applyBorder="1" applyAlignment="1" applyProtection="1">
      <alignment horizontal="center" vertical="center"/>
    </xf>
    <xf numFmtId="44" fontId="32" fillId="0" borderId="0" xfId="1" applyFont="1" applyFill="1" applyBorder="1" applyAlignment="1" applyProtection="1">
      <alignment horizontal="right" vertical="center"/>
    </xf>
    <xf numFmtId="1" fontId="7" fillId="0" borderId="0" xfId="0" applyNumberFormat="1" applyFont="1" applyAlignment="1">
      <alignment horizontal="center" vertical="center"/>
    </xf>
    <xf numFmtId="4" fontId="32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right"/>
    </xf>
    <xf numFmtId="164" fontId="16" fillId="0" borderId="0" xfId="0" applyNumberFormat="1" applyFont="1"/>
    <xf numFmtId="0" fontId="33" fillId="0" borderId="0" xfId="0" applyFont="1"/>
    <xf numFmtId="44" fontId="16" fillId="0" borderId="0" xfId="1" applyFont="1" applyFill="1" applyBorder="1" applyProtection="1"/>
    <xf numFmtId="0" fontId="16" fillId="0" borderId="0" xfId="0" applyFont="1"/>
    <xf numFmtId="44" fontId="34" fillId="0" borderId="0" xfId="0" applyNumberFormat="1" applyFont="1"/>
    <xf numFmtId="0" fontId="19" fillId="0" borderId="0" xfId="0" applyFont="1"/>
    <xf numFmtId="44" fontId="35" fillId="0" borderId="0" xfId="0" applyNumberFormat="1" applyFont="1"/>
    <xf numFmtId="0" fontId="14" fillId="0" borderId="0" xfId="0" applyFont="1"/>
    <xf numFmtId="0" fontId="17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6" fillId="0" borderId="0" xfId="0" applyFont="1"/>
    <xf numFmtId="0" fontId="36" fillId="0" borderId="0" xfId="0" applyFont="1" applyAlignment="1">
      <alignment vertical="top"/>
    </xf>
    <xf numFmtId="44" fontId="7" fillId="0" borderId="0" xfId="1" applyFont="1" applyFill="1" applyBorder="1" applyAlignment="1" applyProtection="1">
      <alignment horizontal="right" vertical="center"/>
    </xf>
    <xf numFmtId="0" fontId="23" fillId="0" borderId="1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12" fillId="0" borderId="0" xfId="0" quotePrefix="1" applyFont="1"/>
    <xf numFmtId="1" fontId="16" fillId="0" borderId="0" xfId="0" applyNumberFormat="1" applyFont="1"/>
    <xf numFmtId="0" fontId="11" fillId="0" borderId="0" xfId="0" applyFont="1" applyAlignment="1">
      <alignment vertical="center"/>
    </xf>
    <xf numFmtId="165" fontId="21" fillId="0" borderId="1" xfId="0" applyNumberFormat="1" applyFont="1" applyBorder="1" applyAlignment="1" applyProtection="1">
      <alignment horizontal="left"/>
      <protection locked="0"/>
    </xf>
    <xf numFmtId="165" fontId="21" fillId="0" borderId="7" xfId="0" applyNumberFormat="1" applyFont="1" applyBorder="1" applyAlignment="1" applyProtection="1">
      <alignment horizontal="left"/>
      <protection locked="0"/>
    </xf>
    <xf numFmtId="165" fontId="13" fillId="0" borderId="7" xfId="0" applyNumberFormat="1" applyFont="1" applyBorder="1" applyAlignment="1" applyProtection="1">
      <alignment horizontal="center" vertical="center"/>
      <protection locked="0"/>
    </xf>
    <xf numFmtId="165" fontId="13" fillId="0" borderId="0" xfId="0" applyNumberFormat="1" applyFont="1" applyAlignment="1" applyProtection="1">
      <alignment horizontal="center" vertical="center"/>
      <protection locked="0"/>
    </xf>
    <xf numFmtId="165" fontId="15" fillId="0" borderId="0" xfId="0" applyNumberFormat="1" applyFont="1" applyProtection="1">
      <protection locked="0"/>
    </xf>
    <xf numFmtId="165" fontId="17" fillId="0" borderId="0" xfId="0" applyNumberFormat="1" applyFont="1" applyAlignment="1" applyProtection="1">
      <alignment vertical="center"/>
      <protection locked="0"/>
    </xf>
    <xf numFmtId="165" fontId="11" fillId="0" borderId="0" xfId="0" applyNumberFormat="1" applyFont="1" applyAlignment="1" applyProtection="1">
      <alignment horizontal="left" vertical="center"/>
      <protection locked="0"/>
    </xf>
    <xf numFmtId="165" fontId="11" fillId="0" borderId="0" xfId="0" applyNumberFormat="1" applyFont="1" applyAlignment="1" applyProtection="1">
      <alignment vertical="center"/>
      <protection locked="0"/>
    </xf>
    <xf numFmtId="0" fontId="37" fillId="4" borderId="8" xfId="0" applyFont="1" applyFill="1" applyBorder="1"/>
    <xf numFmtId="166" fontId="30" fillId="0" borderId="4" xfId="0" applyNumberFormat="1" applyFont="1" applyBorder="1" applyAlignment="1">
      <alignment horizontal="center" vertical="center"/>
    </xf>
    <xf numFmtId="0" fontId="0" fillId="0" borderId="0" xfId="0"/>
    <xf numFmtId="0" fontId="38" fillId="0" borderId="0" xfId="0" applyFont="1"/>
    <xf numFmtId="44" fontId="28" fillId="0" borderId="3" xfId="1" applyFont="1" applyFill="1" applyBorder="1" applyAlignment="1">
      <alignment horizontal="right" vertical="center"/>
    </xf>
    <xf numFmtId="44" fontId="28" fillId="0" borderId="4" xfId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right"/>
    </xf>
    <xf numFmtId="0" fontId="8" fillId="3" borderId="0" xfId="0" applyFont="1" applyFill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0" xfId="0" quotePrefix="1" applyFont="1" applyAlignment="1">
      <alignment horizontal="right" vertical="center"/>
    </xf>
    <xf numFmtId="0" fontId="4" fillId="0" borderId="0" xfId="0" applyFont="1" applyAlignment="1">
      <alignment vertical="center"/>
    </xf>
    <xf numFmtId="44" fontId="28" fillId="0" borderId="3" xfId="1" applyFont="1" applyFill="1" applyBorder="1" applyAlignment="1">
      <alignment horizontal="center" vertical="center"/>
    </xf>
    <xf numFmtId="44" fontId="28" fillId="0" borderId="4" xfId="1" applyFont="1" applyFill="1" applyBorder="1" applyAlignment="1">
      <alignment horizontal="center" vertical="center"/>
    </xf>
    <xf numFmtId="165" fontId="29" fillId="0" borderId="0" xfId="0" applyNumberFormat="1" applyFont="1" applyAlignment="1">
      <alignment horizontal="right" vertical="center"/>
    </xf>
    <xf numFmtId="165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3">
    <dxf>
      <font>
        <b/>
        <i val="0"/>
        <color rgb="FF006100"/>
      </font>
    </dxf>
    <dxf>
      <font>
        <b/>
        <i val="0"/>
        <color rgb="FF006100"/>
      </font>
    </dxf>
    <dxf>
      <font>
        <b/>
        <i val="0"/>
        <color rgb="FF0061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Relationship Id="rId14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EBE-B068-4D93-9E2E-95BF730E8517}">
  <sheetPr>
    <pageSetUpPr fitToPage="1"/>
  </sheetPr>
  <dimension ref="A1:K39"/>
  <sheetViews>
    <sheetView tabSelected="1" view="pageBreakPreview" topLeftCell="A4" zoomScaleNormal="100" zoomScaleSheetLayoutView="100" workbookViewId="0">
      <selection activeCell="G9" sqref="G9:H9"/>
    </sheetView>
  </sheetViews>
  <sheetFormatPr defaultRowHeight="15" x14ac:dyDescent="0.25"/>
  <cols>
    <col min="1" max="1" width="13.28515625" bestFit="1" customWidth="1"/>
    <col min="2" max="2" width="18.7109375" bestFit="1" customWidth="1"/>
    <col min="3" max="3" width="23.28515625" bestFit="1" customWidth="1"/>
    <col min="4" max="4" width="13.85546875" bestFit="1" customWidth="1"/>
    <col min="5" max="5" width="14.5703125" bestFit="1" customWidth="1"/>
    <col min="6" max="6" width="13.85546875" bestFit="1" customWidth="1"/>
    <col min="7" max="7" width="14.28515625" bestFit="1" customWidth="1"/>
    <col min="8" max="8" width="18" bestFit="1" customWidth="1"/>
    <col min="9" max="9" width="7.42578125" bestFit="1" customWidth="1"/>
    <col min="10" max="10" width="12.5703125" bestFit="1" customWidth="1"/>
    <col min="11" max="11" width="14" bestFit="1" customWidth="1"/>
    <col min="12" max="12" width="10.7109375" customWidth="1"/>
  </cols>
  <sheetData>
    <row r="1" spans="1:9" ht="23.25" x14ac:dyDescent="0.25">
      <c r="A1" s="86" t="s">
        <v>11</v>
      </c>
      <c r="B1" s="86"/>
      <c r="C1" s="86"/>
      <c r="D1" s="86"/>
      <c r="E1" s="86"/>
      <c r="F1" s="86"/>
      <c r="G1" s="86"/>
      <c r="H1" s="86"/>
    </row>
    <row r="2" spans="1:9" ht="1.9" customHeight="1" x14ac:dyDescent="0.25">
      <c r="A2" s="3"/>
      <c r="B2" s="3"/>
      <c r="C2" s="3"/>
      <c r="D2" s="3"/>
      <c r="E2" s="3"/>
      <c r="F2" s="3"/>
      <c r="G2" s="3"/>
      <c r="H2" s="3"/>
    </row>
    <row r="3" spans="1:9" x14ac:dyDescent="0.25">
      <c r="A3" s="90" t="s">
        <v>0</v>
      </c>
      <c r="B3" s="90"/>
      <c r="C3" s="90"/>
      <c r="D3" s="90"/>
      <c r="E3" s="7"/>
      <c r="F3" s="7"/>
      <c r="G3" s="87" t="s">
        <v>10</v>
      </c>
      <c r="H3" s="87"/>
    </row>
    <row r="4" spans="1:9" x14ac:dyDescent="0.25">
      <c r="A4" s="90" t="s">
        <v>2</v>
      </c>
      <c r="B4" s="90"/>
      <c r="C4" s="90"/>
      <c r="D4" s="90"/>
      <c r="E4" s="7"/>
      <c r="F4" s="7"/>
      <c r="G4" s="88" t="s">
        <v>4</v>
      </c>
      <c r="H4" s="88"/>
    </row>
    <row r="5" spans="1:9" x14ac:dyDescent="0.25">
      <c r="A5" s="90" t="s">
        <v>9</v>
      </c>
      <c r="B5" s="90"/>
      <c r="C5" s="90"/>
      <c r="D5" s="90"/>
      <c r="E5" s="7"/>
      <c r="F5" s="7"/>
      <c r="G5" s="88" t="s">
        <v>5</v>
      </c>
      <c r="H5" s="88"/>
    </row>
    <row r="6" spans="1:9" x14ac:dyDescent="0.25">
      <c r="A6" s="90" t="s">
        <v>1</v>
      </c>
      <c r="B6" s="90"/>
      <c r="C6" s="90"/>
      <c r="D6" s="90"/>
      <c r="E6" s="7"/>
      <c r="F6" s="7"/>
      <c r="G6" s="88" t="s">
        <v>6</v>
      </c>
      <c r="H6" s="88"/>
    </row>
    <row r="7" spans="1:9" x14ac:dyDescent="0.25">
      <c r="A7" s="90" t="s">
        <v>3</v>
      </c>
      <c r="B7" s="90"/>
      <c r="C7" s="90"/>
      <c r="D7" s="90"/>
      <c r="E7" s="7"/>
      <c r="F7" s="7"/>
      <c r="G7" s="89" t="s">
        <v>7</v>
      </c>
      <c r="H7" s="89"/>
    </row>
    <row r="8" spans="1:9" x14ac:dyDescent="0.25">
      <c r="A8" s="88"/>
      <c r="B8" s="88"/>
      <c r="C8" s="88"/>
      <c r="D8" s="88"/>
      <c r="E8" s="7"/>
      <c r="F8" s="7"/>
      <c r="G8" s="84"/>
      <c r="H8" s="84"/>
    </row>
    <row r="9" spans="1:9" x14ac:dyDescent="0.25">
      <c r="A9" s="8"/>
      <c r="B9" s="2"/>
      <c r="C9" s="1"/>
      <c r="D9" s="1"/>
      <c r="E9" s="1"/>
      <c r="F9" s="1"/>
      <c r="G9" s="94">
        <f ca="1">IF(DAY(TODAY())&lt;=Config!$B$3,DATE(YEAR(TODAY()),MONTH(TODAY())-1,Config!$B$2),DATE(YEAR(TODAY()),MONTH(TODAY()),Config!$B$2))</f>
        <v>46229</v>
      </c>
      <c r="H9" s="85"/>
    </row>
    <row r="10" spans="1:9" ht="15.75" thickBot="1" x14ac:dyDescent="0.3">
      <c r="B10" s="6"/>
      <c r="C10" s="6"/>
      <c r="D10" s="6"/>
      <c r="E10" s="7"/>
      <c r="F10" s="7"/>
      <c r="G10" s="7"/>
    </row>
    <row r="11" spans="1:9" ht="16.5" thickBot="1" x14ac:dyDescent="0.3">
      <c r="A11" s="18" t="s">
        <v>8</v>
      </c>
      <c r="B11" s="12" t="s">
        <v>12</v>
      </c>
      <c r="C11" s="12" t="s">
        <v>13</v>
      </c>
      <c r="D11" s="12" t="s">
        <v>14</v>
      </c>
      <c r="E11" s="12" t="s">
        <v>15</v>
      </c>
      <c r="F11" s="13" t="s">
        <v>16</v>
      </c>
      <c r="G11" s="13" t="s">
        <v>17</v>
      </c>
      <c r="H11" s="19" t="s">
        <v>18</v>
      </c>
      <c r="I11" s="9" t="s">
        <v>20</v>
      </c>
    </row>
    <row r="12" spans="1:9" x14ac:dyDescent="0.25">
      <c r="A12" s="70">
        <v>46107</v>
      </c>
      <c r="B12" s="21" t="s">
        <v>19</v>
      </c>
      <c r="C12" s="65" t="str">
        <f t="shared" ref="C12:C30" si="0">IF(B12="","","Toilet Hire and Servicing")</f>
        <v>Toilet Hire and Servicing</v>
      </c>
      <c r="D12" s="22">
        <v>490054</v>
      </c>
      <c r="E12" s="37">
        <f t="shared" ref="E12:E30" si="1">IF(D12="","",D12*0.15)</f>
        <v>73508.099999999991</v>
      </c>
      <c r="F12" s="38">
        <f t="shared" ref="F12:F30" si="2">IF(D12="","",D12+E12)</f>
        <v>563562.1</v>
      </c>
      <c r="G12" s="38">
        <f t="shared" ref="G12:G30" si="3">IF(F12="","",F12)</f>
        <v>563562.1</v>
      </c>
      <c r="H12" s="39">
        <f t="shared" ref="H12:H30" si="4">IF(I12=TRUE,F12,"")</f>
        <v>563562.1</v>
      </c>
      <c r="I12" s="36" t="b">
        <v>1</v>
      </c>
    </row>
    <row r="13" spans="1:9" x14ac:dyDescent="0.25">
      <c r="A13" s="71">
        <v>46138</v>
      </c>
      <c r="B13" s="23" t="s">
        <v>28</v>
      </c>
      <c r="C13" s="66" t="str">
        <f t="shared" si="0"/>
        <v>Toilet Hire and Servicing</v>
      </c>
      <c r="D13" s="24">
        <v>730100</v>
      </c>
      <c r="E13" s="40">
        <f t="shared" si="1"/>
        <v>109515</v>
      </c>
      <c r="F13" s="41">
        <f t="shared" si="2"/>
        <v>839615</v>
      </c>
      <c r="G13" s="41">
        <f t="shared" si="3"/>
        <v>839615</v>
      </c>
      <c r="H13" s="42" t="str">
        <f t="shared" si="4"/>
        <v/>
      </c>
      <c r="I13" s="36" t="b">
        <v>0</v>
      </c>
    </row>
    <row r="14" spans="1:9" x14ac:dyDescent="0.25">
      <c r="A14" s="71">
        <v>46168</v>
      </c>
      <c r="B14" s="23" t="s">
        <v>30</v>
      </c>
      <c r="C14" s="66" t="str">
        <f t="shared" si="0"/>
        <v>Toilet Hire and Servicing</v>
      </c>
      <c r="D14" s="24">
        <v>723246</v>
      </c>
      <c r="E14" s="40">
        <f t="shared" si="1"/>
        <v>108486.9</v>
      </c>
      <c r="F14" s="41">
        <f t="shared" si="2"/>
        <v>831732.9</v>
      </c>
      <c r="G14" s="41">
        <f t="shared" si="3"/>
        <v>831732.9</v>
      </c>
      <c r="H14" s="42" t="str">
        <f t="shared" si="4"/>
        <v/>
      </c>
      <c r="I14" s="36" t="b">
        <v>0</v>
      </c>
    </row>
    <row r="15" spans="1:9" x14ac:dyDescent="0.25">
      <c r="A15" s="71">
        <v>46203</v>
      </c>
      <c r="B15" s="23" t="s">
        <v>31</v>
      </c>
      <c r="C15" s="66" t="str">
        <f t="shared" si="0"/>
        <v>Toilet Hire and Servicing</v>
      </c>
      <c r="D15" s="24">
        <v>821884</v>
      </c>
      <c r="E15" s="40">
        <f t="shared" si="1"/>
        <v>123282.59999999999</v>
      </c>
      <c r="F15" s="41">
        <f t="shared" si="2"/>
        <v>945166.6</v>
      </c>
      <c r="G15" s="41">
        <f t="shared" si="3"/>
        <v>945166.6</v>
      </c>
      <c r="H15" s="42" t="str">
        <f t="shared" si="4"/>
        <v/>
      </c>
      <c r="I15" s="36" t="b">
        <v>0</v>
      </c>
    </row>
    <row r="16" spans="1:9" x14ac:dyDescent="0.25">
      <c r="A16" s="71">
        <v>46229</v>
      </c>
      <c r="B16" s="23" t="s">
        <v>33</v>
      </c>
      <c r="C16" s="66" t="str">
        <f t="shared" si="0"/>
        <v>Toilet Hire and Servicing</v>
      </c>
      <c r="D16" s="24">
        <v>573948</v>
      </c>
      <c r="E16" s="40">
        <f t="shared" si="1"/>
        <v>86092.2</v>
      </c>
      <c r="F16" s="41">
        <f t="shared" si="2"/>
        <v>660040.19999999995</v>
      </c>
      <c r="G16" s="41">
        <f t="shared" si="3"/>
        <v>660040.19999999995</v>
      </c>
      <c r="H16" s="42" t="str">
        <f t="shared" si="4"/>
        <v/>
      </c>
      <c r="I16" s="36" t="b">
        <v>0</v>
      </c>
    </row>
    <row r="17" spans="1:11" x14ac:dyDescent="0.25">
      <c r="A17" s="71"/>
      <c r="B17" s="23"/>
      <c r="C17" s="66" t="str">
        <f t="shared" si="0"/>
        <v/>
      </c>
      <c r="D17" s="24"/>
      <c r="E17" s="40" t="str">
        <f t="shared" si="1"/>
        <v/>
      </c>
      <c r="F17" s="41" t="str">
        <f t="shared" si="2"/>
        <v/>
      </c>
      <c r="G17" s="41" t="str">
        <f t="shared" si="3"/>
        <v/>
      </c>
      <c r="H17" s="42" t="str">
        <f t="shared" si="4"/>
        <v/>
      </c>
      <c r="I17" s="36" t="b">
        <v>0</v>
      </c>
    </row>
    <row r="18" spans="1:11" x14ac:dyDescent="0.25">
      <c r="A18" s="72"/>
      <c r="B18" s="25"/>
      <c r="C18" s="44" t="str">
        <f t="shared" si="0"/>
        <v/>
      </c>
      <c r="D18" s="26"/>
      <c r="E18" s="43" t="str">
        <f t="shared" si="1"/>
        <v/>
      </c>
      <c r="F18" s="44" t="str">
        <f t="shared" si="2"/>
        <v/>
      </c>
      <c r="G18" s="43" t="str">
        <f t="shared" si="3"/>
        <v/>
      </c>
      <c r="H18" s="45" t="str">
        <f t="shared" si="4"/>
        <v/>
      </c>
      <c r="I18" s="36" t="b">
        <v>0</v>
      </c>
    </row>
    <row r="19" spans="1:11" x14ac:dyDescent="0.25">
      <c r="A19" s="73"/>
      <c r="B19" s="27"/>
      <c r="C19" s="49" t="str">
        <f t="shared" si="0"/>
        <v/>
      </c>
      <c r="D19" s="28"/>
      <c r="E19" s="46" t="str">
        <f t="shared" si="1"/>
        <v/>
      </c>
      <c r="F19" s="47" t="str">
        <f t="shared" si="2"/>
        <v/>
      </c>
      <c r="G19" s="46" t="str">
        <f t="shared" si="3"/>
        <v/>
      </c>
      <c r="H19" s="48" t="str">
        <f t="shared" si="4"/>
        <v/>
      </c>
      <c r="I19" s="36" t="b">
        <v>0</v>
      </c>
    </row>
    <row r="20" spans="1:11" x14ac:dyDescent="0.25">
      <c r="A20" s="73"/>
      <c r="B20" s="27"/>
      <c r="C20" s="49" t="str">
        <f t="shared" si="0"/>
        <v/>
      </c>
      <c r="D20" s="28"/>
      <c r="E20" s="46" t="str">
        <f t="shared" si="1"/>
        <v/>
      </c>
      <c r="F20" s="49" t="str">
        <f t="shared" si="2"/>
        <v/>
      </c>
      <c r="G20" s="46" t="str">
        <f t="shared" si="3"/>
        <v/>
      </c>
      <c r="H20" s="50" t="str">
        <f t="shared" si="4"/>
        <v/>
      </c>
      <c r="I20" s="36" t="b">
        <v>0</v>
      </c>
    </row>
    <row r="21" spans="1:11" x14ac:dyDescent="0.25">
      <c r="A21" s="74"/>
      <c r="B21" s="29"/>
      <c r="C21" s="67" t="str">
        <f t="shared" si="0"/>
        <v/>
      </c>
      <c r="D21" s="29"/>
      <c r="E21" s="51" t="str">
        <f t="shared" si="1"/>
        <v/>
      </c>
      <c r="F21" s="51" t="str">
        <f t="shared" si="2"/>
        <v/>
      </c>
      <c r="G21" s="52" t="str">
        <f t="shared" si="3"/>
        <v/>
      </c>
      <c r="H21" s="53" t="str">
        <f t="shared" si="4"/>
        <v/>
      </c>
      <c r="I21" s="36" t="b">
        <v>0</v>
      </c>
    </row>
    <row r="22" spans="1:11" x14ac:dyDescent="0.25">
      <c r="A22" s="74"/>
      <c r="B22" s="30"/>
      <c r="C22" s="68" t="str">
        <f t="shared" si="0"/>
        <v/>
      </c>
      <c r="D22" s="30"/>
      <c r="E22" s="54" t="str">
        <f t="shared" si="1"/>
        <v/>
      </c>
      <c r="F22" s="55" t="str">
        <f t="shared" si="2"/>
        <v/>
      </c>
      <c r="G22" s="54" t="str">
        <f t="shared" si="3"/>
        <v/>
      </c>
      <c r="H22" s="56" t="str">
        <f t="shared" si="4"/>
        <v/>
      </c>
      <c r="I22" s="36" t="b">
        <v>0</v>
      </c>
    </row>
    <row r="23" spans="1:11" x14ac:dyDescent="0.25">
      <c r="A23" s="74"/>
      <c r="B23" s="29"/>
      <c r="C23" s="67" t="str">
        <f t="shared" si="0"/>
        <v/>
      </c>
      <c r="D23" s="29"/>
      <c r="E23" s="5" t="str">
        <f t="shared" si="1"/>
        <v/>
      </c>
      <c r="F23" s="5" t="str">
        <f t="shared" si="2"/>
        <v/>
      </c>
      <c r="G23" s="51" t="str">
        <f t="shared" si="3"/>
        <v/>
      </c>
      <c r="H23" s="56" t="str">
        <f t="shared" si="4"/>
        <v/>
      </c>
      <c r="I23" s="36" t="b">
        <v>0</v>
      </c>
    </row>
    <row r="24" spans="1:11" ht="15.75" x14ac:dyDescent="0.25">
      <c r="A24" s="75"/>
      <c r="B24" s="31"/>
      <c r="C24" s="60" t="str">
        <f t="shared" si="0"/>
        <v/>
      </c>
      <c r="D24" s="32"/>
      <c r="E24" s="57" t="str">
        <f t="shared" si="1"/>
        <v/>
      </c>
      <c r="F24" s="57" t="str">
        <f t="shared" si="2"/>
        <v/>
      </c>
      <c r="G24" s="57" t="str">
        <f t="shared" si="3"/>
        <v/>
      </c>
      <c r="H24" s="58" t="str">
        <f t="shared" si="4"/>
        <v/>
      </c>
      <c r="I24" s="36" t="b">
        <v>0</v>
      </c>
    </row>
    <row r="25" spans="1:11" x14ac:dyDescent="0.25">
      <c r="A25" s="76"/>
      <c r="B25" s="33"/>
      <c r="C25" s="69" t="str">
        <f t="shared" si="0"/>
        <v/>
      </c>
      <c r="D25" s="34"/>
      <c r="E25" s="59" t="str">
        <f t="shared" si="1"/>
        <v/>
      </c>
      <c r="F25" s="59" t="str">
        <f t="shared" si="2"/>
        <v/>
      </c>
      <c r="G25" s="59" t="str">
        <f t="shared" si="3"/>
        <v/>
      </c>
      <c r="H25" s="53" t="str">
        <f t="shared" si="4"/>
        <v/>
      </c>
      <c r="I25" s="36" t="b">
        <v>0</v>
      </c>
    </row>
    <row r="26" spans="1:11" x14ac:dyDescent="0.25">
      <c r="A26" s="76"/>
      <c r="B26" s="33"/>
      <c r="C26" s="69" t="str">
        <f t="shared" si="0"/>
        <v/>
      </c>
      <c r="D26" s="31"/>
      <c r="E26" s="60" t="str">
        <f t="shared" si="1"/>
        <v/>
      </c>
      <c r="F26" s="60" t="str">
        <f t="shared" si="2"/>
        <v/>
      </c>
      <c r="G26" s="60" t="str">
        <f t="shared" si="3"/>
        <v/>
      </c>
      <c r="H26" s="61" t="str">
        <f t="shared" si="4"/>
        <v/>
      </c>
      <c r="I26" s="36" t="b">
        <v>0</v>
      </c>
    </row>
    <row r="27" spans="1:11" x14ac:dyDescent="0.25">
      <c r="A27" s="77"/>
      <c r="B27" s="33"/>
      <c r="C27" s="69" t="str">
        <f t="shared" si="0"/>
        <v/>
      </c>
      <c r="D27" s="35"/>
      <c r="E27" s="10" t="str">
        <f t="shared" si="1"/>
        <v/>
      </c>
      <c r="F27" s="10" t="str">
        <f t="shared" si="2"/>
        <v/>
      </c>
      <c r="G27" s="10" t="str">
        <f t="shared" si="3"/>
        <v/>
      </c>
      <c r="H27" s="62" t="str">
        <f t="shared" si="4"/>
        <v/>
      </c>
      <c r="I27" s="36" t="b">
        <v>0</v>
      </c>
    </row>
    <row r="28" spans="1:11" x14ac:dyDescent="0.25">
      <c r="A28" s="77"/>
      <c r="B28" s="33"/>
      <c r="C28" s="69" t="str">
        <f t="shared" si="0"/>
        <v/>
      </c>
      <c r="D28" s="35"/>
      <c r="E28" s="10" t="str">
        <f t="shared" si="1"/>
        <v/>
      </c>
      <c r="F28" s="10" t="str">
        <f t="shared" si="2"/>
        <v/>
      </c>
      <c r="G28" s="10" t="str">
        <f t="shared" si="3"/>
        <v/>
      </c>
      <c r="H28" s="62" t="str">
        <f t="shared" si="4"/>
        <v/>
      </c>
      <c r="I28" s="36" t="b">
        <v>0</v>
      </c>
    </row>
    <row r="29" spans="1:11" x14ac:dyDescent="0.25">
      <c r="A29" s="77"/>
      <c r="B29" s="33"/>
      <c r="C29" s="69" t="str">
        <f t="shared" si="0"/>
        <v/>
      </c>
      <c r="D29" s="35"/>
      <c r="E29" s="11" t="str">
        <f t="shared" si="1"/>
        <v/>
      </c>
      <c r="F29" s="11" t="str">
        <f t="shared" si="2"/>
        <v/>
      </c>
      <c r="G29" s="11" t="str">
        <f t="shared" si="3"/>
        <v/>
      </c>
      <c r="H29" s="63" t="str">
        <f t="shared" si="4"/>
        <v/>
      </c>
      <c r="I29" s="36" t="b">
        <v>0</v>
      </c>
    </row>
    <row r="30" spans="1:11" x14ac:dyDescent="0.25">
      <c r="A30" s="77"/>
      <c r="B30" s="33"/>
      <c r="C30" s="69" t="str">
        <f t="shared" si="0"/>
        <v/>
      </c>
      <c r="D30" s="35"/>
      <c r="E30" s="10" t="str">
        <f t="shared" si="1"/>
        <v/>
      </c>
      <c r="F30" s="10" t="str">
        <f t="shared" si="2"/>
        <v/>
      </c>
      <c r="G30" s="10" t="str">
        <f t="shared" si="3"/>
        <v/>
      </c>
      <c r="H30" s="62" t="str">
        <f t="shared" si="4"/>
        <v/>
      </c>
      <c r="I30" s="36" t="b">
        <v>0</v>
      </c>
    </row>
    <row r="31" spans="1:11" ht="15.75" thickBot="1" x14ac:dyDescent="0.3">
      <c r="A31" s="20"/>
      <c r="B31" s="20"/>
      <c r="C31" s="20"/>
      <c r="D31" s="5"/>
      <c r="E31" s="10"/>
      <c r="F31" s="10"/>
      <c r="G31" s="10"/>
      <c r="H31" s="10"/>
    </row>
    <row r="32" spans="1:11" ht="18.600000000000001" customHeight="1" x14ac:dyDescent="0.25">
      <c r="A32" s="14"/>
      <c r="B32" s="15" t="s">
        <v>25</v>
      </c>
      <c r="C32" s="15" t="s">
        <v>24</v>
      </c>
      <c r="D32" s="16" t="s">
        <v>23</v>
      </c>
      <c r="E32" s="15" t="s">
        <v>22</v>
      </c>
      <c r="F32" s="82" t="s">
        <v>21</v>
      </c>
      <c r="G32" s="82"/>
      <c r="H32" s="91">
        <f>SUMIF($H$12:$H$30,"",$F$12:$F$30)</f>
        <v>3276554.7</v>
      </c>
      <c r="K32" s="4"/>
    </row>
    <row r="33" spans="1:8" ht="31.9" customHeight="1" thickBot="1" x14ac:dyDescent="0.3">
      <c r="A33" s="17"/>
      <c r="B33" s="79">
        <f ca="1">SUMIFS($F$12:$F$30,$H$12:$H$30,"",$A$12:$A$30,"&lt;"&amp;DATE(YEAR($G$9),MONTH($G$9)-2,1))</f>
        <v>839615</v>
      </c>
      <c r="C33" s="79">
        <f ca="1">SUMIFS($F$12:$F$30,$H$12:$H$30,"",$A$12:$A$30,"&gt;="&amp;DATE(YEAR($G$9),MONTH($G$9)-2,1),$A$12:$A$30,"&lt;="&amp;EOMONTH($G$9,-2))</f>
        <v>831732.9</v>
      </c>
      <c r="D33" s="79">
        <f ca="1">SUMIFS($F$12:$F$30,$H$12:$H$30,"",$A$12:$A$30,"&gt;="&amp;DATE(YEAR($G$9),MONTH($G$9)-1,1),$A$12:$A$30,"&lt;="&amp;EOMONTH($G$9,-1))</f>
        <v>945166.6</v>
      </c>
      <c r="E33" s="79">
        <f ca="1">SUMIFS($F$12:$F$30,$H$12:$H$30,"",$A$12:$A$30,"&gt;="&amp;DATE(YEAR($G$9),MONTH($G$9),1),$A$12:$A$30,"&lt;="&amp;EOMONTH($G$9,0))</f>
        <v>660040.19999999995</v>
      </c>
      <c r="F33" s="83"/>
      <c r="G33" s="83"/>
      <c r="H33" s="92"/>
    </row>
    <row r="34" spans="1:8" x14ac:dyDescent="0.25">
      <c r="F34" s="10"/>
      <c r="G34" s="10"/>
      <c r="H34" s="10"/>
    </row>
    <row r="35" spans="1:8" x14ac:dyDescent="0.25">
      <c r="F35" s="10"/>
      <c r="G35" s="10"/>
      <c r="H35" s="10"/>
    </row>
    <row r="36" spans="1:8" ht="25.15" customHeight="1" x14ac:dyDescent="0.25">
      <c r="A36" s="11"/>
      <c r="B36" s="10"/>
      <c r="C36" s="10"/>
      <c r="D36" s="5"/>
      <c r="E36" s="11"/>
      <c r="F36" s="10"/>
      <c r="G36" s="10"/>
      <c r="H36" s="10"/>
    </row>
    <row r="37" spans="1:8" x14ac:dyDescent="0.25">
      <c r="A37" s="5"/>
      <c r="B37" s="5"/>
      <c r="C37" s="5"/>
      <c r="D37" s="5"/>
      <c r="E37" s="5"/>
      <c r="F37" s="5"/>
      <c r="G37" s="5"/>
      <c r="H37" s="5"/>
    </row>
    <row r="38" spans="1:8" x14ac:dyDescent="0.25">
      <c r="A38" s="5"/>
      <c r="B38" s="5"/>
      <c r="C38" s="5"/>
      <c r="D38" s="5"/>
      <c r="E38" s="5"/>
      <c r="F38" s="5"/>
      <c r="G38" s="5"/>
      <c r="H38" s="5"/>
    </row>
    <row r="39" spans="1:8" x14ac:dyDescent="0.25">
      <c r="A39" s="5"/>
      <c r="B39" s="5"/>
      <c r="C39" s="5"/>
      <c r="D39" s="5"/>
      <c r="E39" s="5"/>
      <c r="F39" s="5"/>
      <c r="G39" s="5"/>
      <c r="H39" s="5"/>
    </row>
  </sheetData>
  <mergeCells count="16">
    <mergeCell ref="F32:G33"/>
    <mergeCell ref="G8:H8"/>
    <mergeCell ref="G9:H9"/>
    <mergeCell ref="A1:H1"/>
    <mergeCell ref="G3:H3"/>
    <mergeCell ref="G4:H4"/>
    <mergeCell ref="G5:H5"/>
    <mergeCell ref="G6:H6"/>
    <mergeCell ref="G7:H7"/>
    <mergeCell ref="A3:D3"/>
    <mergeCell ref="A4:D4"/>
    <mergeCell ref="A5:D5"/>
    <mergeCell ref="A6:D6"/>
    <mergeCell ref="A7:D7"/>
    <mergeCell ref="A8:D8"/>
    <mergeCell ref="H32:H33"/>
  </mergeCells>
  <phoneticPr fontId="5" type="noConversion"/>
  <conditionalFormatting sqref="H12:H30">
    <cfRule type="expression" dxfId="2" priority="1">
      <formula>$I12=TRUE</formula>
    </cfRule>
  </conditionalFormatting>
  <dataValidations count="1">
    <dataValidation type="whole" operator="greaterThanOrEqual" showErrorMessage="1" errorTitle="Invalid" error="Enter a whole number ≥ 0" sqref="F18:F20 C18:C20" xr:uid="{C6D762D9-E729-416C-B9B8-C414A1A3C1A1}">
      <formula1>0</formula1>
      <formula2>0</formula2>
    </dataValidation>
  </dataValidations>
  <pageMargins left="0.7" right="0.7" top="1.542" bottom="0.75" header="0.3" footer="0.3"/>
  <pageSetup paperSize="9" scale="67" fitToHeight="0" orientation="portrait" r:id="rId1"/>
  <headerFooter>
    <oddHeader>&amp;L&amp;"-,Bold"&amp;9SITHEMBE TRANSPORTATION AND PROJECTS  &amp;"-,Regular"
VAT No: 4070272101  
285 Erasmus Ave  
Raslouw AH  
Centuiron  
0157  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8DC5-FE34-4309-9329-387E00597720}">
  <sheetPr>
    <pageSetUpPr fitToPage="1"/>
  </sheetPr>
  <dimension ref="A1:K39"/>
  <sheetViews>
    <sheetView view="pageBreakPreview" zoomScaleNormal="100" zoomScaleSheetLayoutView="100" workbookViewId="0">
      <selection activeCell="A17" sqref="A17"/>
    </sheetView>
  </sheetViews>
  <sheetFormatPr defaultRowHeight="15" x14ac:dyDescent="0.25"/>
  <cols>
    <col min="1" max="1" width="13.28515625" bestFit="1" customWidth="1"/>
    <col min="2" max="2" width="18.7109375" bestFit="1" customWidth="1"/>
    <col min="3" max="3" width="23.28515625" bestFit="1" customWidth="1"/>
    <col min="4" max="4" width="13.85546875" bestFit="1" customWidth="1"/>
    <col min="5" max="5" width="13" bestFit="1" customWidth="1"/>
    <col min="6" max="6" width="13.85546875" bestFit="1" customWidth="1"/>
    <col min="7" max="7" width="14.28515625" bestFit="1" customWidth="1"/>
    <col min="8" max="8" width="16.85546875" bestFit="1" customWidth="1"/>
    <col min="9" max="9" width="7.42578125" bestFit="1" customWidth="1"/>
    <col min="10" max="10" width="11.140625" bestFit="1" customWidth="1"/>
    <col min="11" max="11" width="11.42578125" bestFit="1" customWidth="1"/>
    <col min="12" max="12" width="10.7109375" customWidth="1"/>
  </cols>
  <sheetData>
    <row r="1" spans="1:9" ht="23.25" x14ac:dyDescent="0.25">
      <c r="A1" s="86" t="s">
        <v>11</v>
      </c>
      <c r="B1" s="86"/>
      <c r="C1" s="86"/>
      <c r="D1" s="86"/>
      <c r="E1" s="86"/>
      <c r="F1" s="86"/>
      <c r="G1" s="86"/>
      <c r="H1" s="86"/>
    </row>
    <row r="2" spans="1:9" ht="1.9" customHeight="1" x14ac:dyDescent="0.25">
      <c r="A2" s="3"/>
      <c r="B2" s="3"/>
      <c r="C2" s="3"/>
      <c r="D2" s="3"/>
      <c r="E2" s="3"/>
      <c r="F2" s="3"/>
      <c r="G2" s="3"/>
      <c r="H2" s="3"/>
    </row>
    <row r="3" spans="1:9" x14ac:dyDescent="0.25">
      <c r="A3" s="90" t="s">
        <v>0</v>
      </c>
      <c r="B3" s="90"/>
      <c r="C3" s="90"/>
      <c r="D3" s="90"/>
      <c r="E3" s="7"/>
      <c r="F3" s="7"/>
      <c r="G3" s="87" t="s">
        <v>10</v>
      </c>
      <c r="H3" s="87"/>
    </row>
    <row r="4" spans="1:9" x14ac:dyDescent="0.25">
      <c r="A4" s="90" t="s">
        <v>2</v>
      </c>
      <c r="B4" s="90"/>
      <c r="C4" s="90"/>
      <c r="D4" s="90"/>
      <c r="E4" s="7"/>
      <c r="F4" s="7"/>
      <c r="G4" s="88" t="s">
        <v>4</v>
      </c>
      <c r="H4" s="88"/>
    </row>
    <row r="5" spans="1:9" x14ac:dyDescent="0.25">
      <c r="A5" s="90" t="s">
        <v>9</v>
      </c>
      <c r="B5" s="90"/>
      <c r="C5" s="90"/>
      <c r="D5" s="90"/>
      <c r="E5" s="7"/>
      <c r="F5" s="7"/>
      <c r="G5" s="88" t="s">
        <v>5</v>
      </c>
      <c r="H5" s="88"/>
    </row>
    <row r="6" spans="1:9" x14ac:dyDescent="0.25">
      <c r="A6" s="90" t="s">
        <v>1</v>
      </c>
      <c r="B6" s="90"/>
      <c r="C6" s="90"/>
      <c r="D6" s="90"/>
      <c r="E6" s="7"/>
      <c r="F6" s="7"/>
      <c r="G6" s="88" t="s">
        <v>6</v>
      </c>
      <c r="H6" s="88"/>
    </row>
    <row r="7" spans="1:9" x14ac:dyDescent="0.25">
      <c r="A7" s="90" t="s">
        <v>3</v>
      </c>
      <c r="B7" s="90"/>
      <c r="C7" s="90"/>
      <c r="D7" s="90"/>
      <c r="E7" s="7"/>
      <c r="F7" s="7"/>
      <c r="G7" s="89" t="s">
        <v>7</v>
      </c>
      <c r="H7" s="89"/>
    </row>
    <row r="8" spans="1:9" x14ac:dyDescent="0.25">
      <c r="A8" s="88"/>
      <c r="B8" s="88"/>
      <c r="C8" s="88"/>
      <c r="D8" s="88"/>
      <c r="E8" s="7"/>
      <c r="F8" s="7"/>
      <c r="G8" s="84"/>
      <c r="H8" s="84"/>
    </row>
    <row r="9" spans="1:9" x14ac:dyDescent="0.25">
      <c r="A9" s="8"/>
      <c r="B9" s="2"/>
      <c r="C9" s="1"/>
      <c r="D9" s="1"/>
      <c r="E9" s="1"/>
      <c r="F9" s="1"/>
      <c r="G9" s="93">
        <f ca="1">IF(DAY(TODAY())&lt;=Config!$B$3,DATE(YEAR(TODAY()),MONTH(TODAY())-1,Config!$B$2),DATE(YEAR(TODAY()),MONTH(TODAY()),Config!$B$2))</f>
        <v>46229</v>
      </c>
      <c r="H9" s="93"/>
    </row>
    <row r="10" spans="1:9" ht="15.75" thickBot="1" x14ac:dyDescent="0.3">
      <c r="B10" s="6"/>
      <c r="C10" s="6"/>
      <c r="D10" s="6"/>
      <c r="E10" s="7"/>
      <c r="F10" s="7"/>
      <c r="G10" s="7"/>
    </row>
    <row r="11" spans="1:9" ht="16.5" thickBot="1" x14ac:dyDescent="0.3">
      <c r="A11" s="18" t="s">
        <v>8</v>
      </c>
      <c r="B11" s="12" t="s">
        <v>12</v>
      </c>
      <c r="C11" s="12" t="s">
        <v>13</v>
      </c>
      <c r="D11" s="12" t="s">
        <v>14</v>
      </c>
      <c r="E11" s="12" t="s">
        <v>15</v>
      </c>
      <c r="F11" s="13" t="s">
        <v>16</v>
      </c>
      <c r="G11" s="13" t="s">
        <v>17</v>
      </c>
      <c r="H11" s="19" t="s">
        <v>18</v>
      </c>
      <c r="I11" s="9" t="s">
        <v>20</v>
      </c>
    </row>
    <row r="12" spans="1:9" x14ac:dyDescent="0.25">
      <c r="A12" s="70">
        <v>46107</v>
      </c>
      <c r="B12" s="21" t="s">
        <v>26</v>
      </c>
      <c r="C12" s="65" t="str">
        <f t="shared" ref="C12:C30" si="0">IF(B12="","","Toilet Hire and Servicing")</f>
        <v>Toilet Hire and Servicing</v>
      </c>
      <c r="D12" s="22">
        <v>26640.5</v>
      </c>
      <c r="E12" s="37">
        <f t="shared" ref="E12:E30" si="1">IF(D12="","",D12*0.15)</f>
        <v>3996.0749999999998</v>
      </c>
      <c r="F12" s="38">
        <f t="shared" ref="F12:F30" si="2">IF(D12="","",D12+E12)</f>
        <v>30636.575000000001</v>
      </c>
      <c r="G12" s="38">
        <f t="shared" ref="G12:G30" si="3">IF(F12="","",F12)</f>
        <v>30636.575000000001</v>
      </c>
      <c r="H12" s="39">
        <f t="shared" ref="H12:H30" si="4">IF(I12=TRUE,F12,"")</f>
        <v>30636.575000000001</v>
      </c>
      <c r="I12" s="36" t="b">
        <v>1</v>
      </c>
    </row>
    <row r="13" spans="1:9" x14ac:dyDescent="0.25">
      <c r="A13" s="71">
        <v>46138</v>
      </c>
      <c r="B13" s="23" t="s">
        <v>27</v>
      </c>
      <c r="C13" s="66" t="str">
        <f t="shared" si="0"/>
        <v>Toilet Hire and Servicing</v>
      </c>
      <c r="D13" s="24">
        <v>42875</v>
      </c>
      <c r="E13" s="40">
        <f t="shared" si="1"/>
        <v>6431.25</v>
      </c>
      <c r="F13" s="41">
        <f t="shared" si="2"/>
        <v>49306.25</v>
      </c>
      <c r="G13" s="41">
        <f t="shared" si="3"/>
        <v>49306.25</v>
      </c>
      <c r="H13" s="42" t="str">
        <f t="shared" si="4"/>
        <v/>
      </c>
      <c r="I13" s="36" t="b">
        <v>0</v>
      </c>
    </row>
    <row r="14" spans="1:9" x14ac:dyDescent="0.25">
      <c r="A14" s="71">
        <v>46168</v>
      </c>
      <c r="B14" s="23" t="s">
        <v>29</v>
      </c>
      <c r="C14" s="66" t="str">
        <f t="shared" si="0"/>
        <v>Toilet Hire and Servicing</v>
      </c>
      <c r="D14" s="24">
        <v>39095</v>
      </c>
      <c r="E14" s="40">
        <f t="shared" si="1"/>
        <v>5864.25</v>
      </c>
      <c r="F14" s="41">
        <f t="shared" si="2"/>
        <v>44959.25</v>
      </c>
      <c r="G14" s="41">
        <f t="shared" si="3"/>
        <v>44959.25</v>
      </c>
      <c r="H14" s="42" t="str">
        <f t="shared" si="4"/>
        <v/>
      </c>
      <c r="I14" s="36" t="b">
        <v>0</v>
      </c>
    </row>
    <row r="15" spans="1:9" x14ac:dyDescent="0.25">
      <c r="A15" s="71">
        <v>46203</v>
      </c>
      <c r="B15" s="23" t="s">
        <v>32</v>
      </c>
      <c r="C15" s="66" t="str">
        <f t="shared" si="0"/>
        <v>Toilet Hire and Servicing</v>
      </c>
      <c r="D15" s="24">
        <v>51642.5</v>
      </c>
      <c r="E15" s="40">
        <f t="shared" si="1"/>
        <v>7746.375</v>
      </c>
      <c r="F15" s="41">
        <f t="shared" si="2"/>
        <v>59388.875</v>
      </c>
      <c r="G15" s="41">
        <f t="shared" si="3"/>
        <v>59388.875</v>
      </c>
      <c r="H15" s="42" t="str">
        <f t="shared" si="4"/>
        <v/>
      </c>
      <c r="I15" s="36" t="b">
        <v>0</v>
      </c>
    </row>
    <row r="16" spans="1:9" x14ac:dyDescent="0.25">
      <c r="A16" s="71">
        <v>46229</v>
      </c>
      <c r="B16" s="23" t="s">
        <v>34</v>
      </c>
      <c r="C16" s="66" t="str">
        <f t="shared" si="0"/>
        <v>Toilet Hire and Servicing</v>
      </c>
      <c r="D16" s="24">
        <v>33705</v>
      </c>
      <c r="E16" s="40">
        <f t="shared" si="1"/>
        <v>5055.75</v>
      </c>
      <c r="F16" s="41">
        <f t="shared" si="2"/>
        <v>38760.75</v>
      </c>
      <c r="G16" s="41">
        <f t="shared" si="3"/>
        <v>38760.75</v>
      </c>
      <c r="H16" s="42" t="str">
        <f t="shared" si="4"/>
        <v/>
      </c>
      <c r="I16" s="36" t="b">
        <v>0</v>
      </c>
    </row>
    <row r="17" spans="1:11" x14ac:dyDescent="0.25">
      <c r="A17" s="71"/>
      <c r="B17" s="23"/>
      <c r="C17" s="66" t="str">
        <f t="shared" si="0"/>
        <v/>
      </c>
      <c r="D17" s="24"/>
      <c r="E17" s="40" t="str">
        <f t="shared" si="1"/>
        <v/>
      </c>
      <c r="F17" s="41" t="str">
        <f t="shared" si="2"/>
        <v/>
      </c>
      <c r="G17" s="41" t="str">
        <f t="shared" si="3"/>
        <v/>
      </c>
      <c r="H17" s="42" t="str">
        <f t="shared" si="4"/>
        <v/>
      </c>
      <c r="I17" s="36" t="b">
        <v>0</v>
      </c>
    </row>
    <row r="18" spans="1:11" x14ac:dyDescent="0.25">
      <c r="A18" s="73"/>
      <c r="B18" s="27"/>
      <c r="C18" s="49" t="str">
        <f t="shared" si="0"/>
        <v/>
      </c>
      <c r="D18" s="28"/>
      <c r="E18" s="64" t="str">
        <f t="shared" si="1"/>
        <v/>
      </c>
      <c r="F18" s="49" t="str">
        <f t="shared" si="2"/>
        <v/>
      </c>
      <c r="G18" s="64" t="str">
        <f t="shared" si="3"/>
        <v/>
      </c>
      <c r="H18" s="48" t="str">
        <f t="shared" si="4"/>
        <v/>
      </c>
      <c r="I18" s="36" t="b">
        <v>0</v>
      </c>
    </row>
    <row r="19" spans="1:11" x14ac:dyDescent="0.25">
      <c r="A19" s="73"/>
      <c r="B19" s="27"/>
      <c r="C19" s="49" t="str">
        <f t="shared" si="0"/>
        <v/>
      </c>
      <c r="D19" s="28"/>
      <c r="E19" s="46" t="str">
        <f t="shared" si="1"/>
        <v/>
      </c>
      <c r="F19" s="47" t="str">
        <f t="shared" si="2"/>
        <v/>
      </c>
      <c r="G19" s="46" t="str">
        <f t="shared" si="3"/>
        <v/>
      </c>
      <c r="H19" s="48" t="str">
        <f t="shared" si="4"/>
        <v/>
      </c>
      <c r="I19" s="36" t="b">
        <v>0</v>
      </c>
    </row>
    <row r="20" spans="1:11" x14ac:dyDescent="0.25">
      <c r="A20" s="73"/>
      <c r="B20" s="27"/>
      <c r="C20" s="49" t="str">
        <f t="shared" si="0"/>
        <v/>
      </c>
      <c r="D20" s="28"/>
      <c r="E20" s="46" t="str">
        <f t="shared" si="1"/>
        <v/>
      </c>
      <c r="F20" s="49" t="str">
        <f t="shared" si="2"/>
        <v/>
      </c>
      <c r="G20" s="46" t="str">
        <f t="shared" si="3"/>
        <v/>
      </c>
      <c r="H20" s="50" t="str">
        <f t="shared" si="4"/>
        <v/>
      </c>
      <c r="I20" s="36" t="b">
        <v>0</v>
      </c>
    </row>
    <row r="21" spans="1:11" x14ac:dyDescent="0.25">
      <c r="A21" s="74"/>
      <c r="B21" s="29"/>
      <c r="C21" s="67" t="str">
        <f t="shared" si="0"/>
        <v/>
      </c>
      <c r="D21" s="29"/>
      <c r="E21" s="51" t="str">
        <f t="shared" si="1"/>
        <v/>
      </c>
      <c r="F21" s="51" t="str">
        <f t="shared" si="2"/>
        <v/>
      </c>
      <c r="G21" s="52" t="str">
        <f t="shared" si="3"/>
        <v/>
      </c>
      <c r="H21" s="53" t="str">
        <f t="shared" si="4"/>
        <v/>
      </c>
      <c r="I21" s="36" t="b">
        <v>0</v>
      </c>
    </row>
    <row r="22" spans="1:11" x14ac:dyDescent="0.25">
      <c r="A22" s="74"/>
      <c r="B22" s="30"/>
      <c r="C22" s="68" t="str">
        <f t="shared" si="0"/>
        <v/>
      </c>
      <c r="D22" s="30"/>
      <c r="E22" s="54" t="str">
        <f t="shared" si="1"/>
        <v/>
      </c>
      <c r="F22" s="55" t="str">
        <f t="shared" si="2"/>
        <v/>
      </c>
      <c r="G22" s="54" t="str">
        <f t="shared" si="3"/>
        <v/>
      </c>
      <c r="H22" s="56" t="str">
        <f t="shared" si="4"/>
        <v/>
      </c>
      <c r="I22" s="36" t="b">
        <v>0</v>
      </c>
    </row>
    <row r="23" spans="1:11" x14ac:dyDescent="0.25">
      <c r="A23" s="74"/>
      <c r="B23" s="29"/>
      <c r="C23" s="67" t="str">
        <f t="shared" si="0"/>
        <v/>
      </c>
      <c r="D23" s="29"/>
      <c r="E23" s="5" t="str">
        <f t="shared" si="1"/>
        <v/>
      </c>
      <c r="F23" s="5" t="str">
        <f t="shared" si="2"/>
        <v/>
      </c>
      <c r="G23" s="51" t="str">
        <f t="shared" si="3"/>
        <v/>
      </c>
      <c r="H23" s="56" t="str">
        <f t="shared" si="4"/>
        <v/>
      </c>
      <c r="I23" s="36" t="b">
        <v>0</v>
      </c>
    </row>
    <row r="24" spans="1:11" ht="15.75" x14ac:dyDescent="0.25">
      <c r="A24" s="75"/>
      <c r="B24" s="31"/>
      <c r="C24" s="60" t="str">
        <f t="shared" si="0"/>
        <v/>
      </c>
      <c r="D24" s="32"/>
      <c r="E24" s="57" t="str">
        <f t="shared" si="1"/>
        <v/>
      </c>
      <c r="F24" s="57" t="str">
        <f t="shared" si="2"/>
        <v/>
      </c>
      <c r="G24" s="57" t="str">
        <f t="shared" si="3"/>
        <v/>
      </c>
      <c r="H24" s="58" t="str">
        <f t="shared" si="4"/>
        <v/>
      </c>
      <c r="I24" s="36" t="b">
        <v>0</v>
      </c>
    </row>
    <row r="25" spans="1:11" x14ac:dyDescent="0.25">
      <c r="A25" s="76"/>
      <c r="B25" s="33"/>
      <c r="C25" s="69" t="str">
        <f t="shared" si="0"/>
        <v/>
      </c>
      <c r="D25" s="34"/>
      <c r="E25" s="59" t="str">
        <f t="shared" si="1"/>
        <v/>
      </c>
      <c r="F25" s="59" t="str">
        <f t="shared" si="2"/>
        <v/>
      </c>
      <c r="G25" s="59" t="str">
        <f t="shared" si="3"/>
        <v/>
      </c>
      <c r="H25" s="53" t="str">
        <f t="shared" si="4"/>
        <v/>
      </c>
      <c r="I25" s="36" t="b">
        <v>0</v>
      </c>
    </row>
    <row r="26" spans="1:11" x14ac:dyDescent="0.25">
      <c r="A26" s="76"/>
      <c r="B26" s="33"/>
      <c r="C26" s="69" t="str">
        <f t="shared" si="0"/>
        <v/>
      </c>
      <c r="D26" s="31"/>
      <c r="E26" s="60" t="str">
        <f t="shared" si="1"/>
        <v/>
      </c>
      <c r="F26" s="60" t="str">
        <f t="shared" si="2"/>
        <v/>
      </c>
      <c r="G26" s="60" t="str">
        <f t="shared" si="3"/>
        <v/>
      </c>
      <c r="H26" s="61" t="str">
        <f t="shared" si="4"/>
        <v/>
      </c>
      <c r="I26" s="36" t="b">
        <v>0</v>
      </c>
    </row>
    <row r="27" spans="1:11" x14ac:dyDescent="0.25">
      <c r="A27" s="77"/>
      <c r="B27" s="33"/>
      <c r="C27" s="69" t="str">
        <f t="shared" si="0"/>
        <v/>
      </c>
      <c r="D27" s="35"/>
      <c r="E27" s="10" t="str">
        <f t="shared" si="1"/>
        <v/>
      </c>
      <c r="F27" s="10" t="str">
        <f t="shared" si="2"/>
        <v/>
      </c>
      <c r="G27" s="10" t="str">
        <f t="shared" si="3"/>
        <v/>
      </c>
      <c r="H27" s="62" t="str">
        <f t="shared" si="4"/>
        <v/>
      </c>
      <c r="I27" s="36" t="b">
        <v>0</v>
      </c>
    </row>
    <row r="28" spans="1:11" x14ac:dyDescent="0.25">
      <c r="A28" s="77"/>
      <c r="B28" s="33"/>
      <c r="C28" s="69" t="str">
        <f t="shared" si="0"/>
        <v/>
      </c>
      <c r="D28" s="35"/>
      <c r="E28" s="10" t="str">
        <f t="shared" si="1"/>
        <v/>
      </c>
      <c r="F28" s="10" t="str">
        <f t="shared" si="2"/>
        <v/>
      </c>
      <c r="G28" s="10" t="str">
        <f t="shared" si="3"/>
        <v/>
      </c>
      <c r="H28" s="62" t="str">
        <f t="shared" si="4"/>
        <v/>
      </c>
      <c r="I28" s="36" t="b">
        <v>0</v>
      </c>
    </row>
    <row r="29" spans="1:11" x14ac:dyDescent="0.25">
      <c r="A29" s="77"/>
      <c r="B29" s="33"/>
      <c r="C29" s="69" t="str">
        <f t="shared" si="0"/>
        <v/>
      </c>
      <c r="D29" s="35"/>
      <c r="E29" s="11" t="str">
        <f t="shared" si="1"/>
        <v/>
      </c>
      <c r="F29" s="11" t="str">
        <f t="shared" si="2"/>
        <v/>
      </c>
      <c r="G29" s="11" t="str">
        <f t="shared" si="3"/>
        <v/>
      </c>
      <c r="H29" s="63" t="str">
        <f t="shared" si="4"/>
        <v/>
      </c>
      <c r="I29" s="36" t="b">
        <v>0</v>
      </c>
    </row>
    <row r="30" spans="1:11" x14ac:dyDescent="0.25">
      <c r="A30" s="77"/>
      <c r="B30" s="33"/>
      <c r="C30" s="69" t="str">
        <f t="shared" si="0"/>
        <v/>
      </c>
      <c r="D30" s="35"/>
      <c r="E30" s="10" t="str">
        <f t="shared" si="1"/>
        <v/>
      </c>
      <c r="F30" s="10" t="str">
        <f t="shared" si="2"/>
        <v/>
      </c>
      <c r="G30" s="10" t="str">
        <f t="shared" si="3"/>
        <v/>
      </c>
      <c r="H30" s="62" t="str">
        <f t="shared" si="4"/>
        <v/>
      </c>
      <c r="I30" s="36" t="b">
        <v>0</v>
      </c>
    </row>
    <row r="31" spans="1:11" ht="15.75" thickBot="1" x14ac:dyDescent="0.3">
      <c r="A31" s="20"/>
      <c r="B31" s="20"/>
      <c r="C31" s="20"/>
      <c r="D31" s="5"/>
      <c r="E31" s="10"/>
      <c r="F31" s="10"/>
      <c r="G31" s="10"/>
      <c r="H31" s="10"/>
      <c r="K31" s="4"/>
    </row>
    <row r="32" spans="1:11" ht="18.600000000000001" customHeight="1" x14ac:dyDescent="0.25">
      <c r="A32" s="14"/>
      <c r="B32" s="15" t="s">
        <v>25</v>
      </c>
      <c r="C32" s="15" t="s">
        <v>24</v>
      </c>
      <c r="D32" s="16" t="s">
        <v>23</v>
      </c>
      <c r="E32" s="15" t="s">
        <v>22</v>
      </c>
      <c r="F32" s="82" t="s">
        <v>21</v>
      </c>
      <c r="G32" s="82"/>
      <c r="H32" s="91">
        <f>SUMIF($H$12:$H$30,"",$F$12:$F$30)</f>
        <v>192415.125</v>
      </c>
    </row>
    <row r="33" spans="1:8" ht="31.9" customHeight="1" thickBot="1" x14ac:dyDescent="0.3">
      <c r="A33" s="17"/>
      <c r="B33" s="79">
        <f ca="1">SUMIFS($F$12:$F$30,$H$12:$H$30,"",$A$12:$A$30,"&lt;"&amp;DATE(YEAR($G$9),MONTH($G$9)-2,1))</f>
        <v>49306.25</v>
      </c>
      <c r="C33" s="79">
        <f ca="1">SUMIFS($F$12:$F$30,$H$12:$H$30,"",$A$12:$A$30,"&gt;="&amp;DATE(YEAR($G$9),MONTH($G$9)-2,1),$A$12:$A$30,"&lt;="&amp;EOMONTH($G$9,-2))</f>
        <v>44959.25</v>
      </c>
      <c r="D33" s="79">
        <f ca="1">SUMIFS($F$12:$F$30,$H$12:$H$30,"",$A$12:$A$30,"&gt;="&amp;DATE(YEAR($G$9),MONTH($G$9)-1,1),$A$12:$A$30,"&lt;="&amp;EOMONTH($G$9,-1))</f>
        <v>59388.875</v>
      </c>
      <c r="E33" s="79">
        <f ca="1">SUMIFS($F$12:$F$30,$H$12:$H$30,"",$A$12:$A$30,"&gt;="&amp;DATE(YEAR($G$9),MONTH($G$9),1),$A$12:$A$30,"&lt;="&amp;EOMONTH($G$9,0))</f>
        <v>38760.75</v>
      </c>
      <c r="F33" s="83"/>
      <c r="G33" s="83"/>
      <c r="H33" s="92"/>
    </row>
    <row r="34" spans="1:8" x14ac:dyDescent="0.25">
      <c r="F34" s="10"/>
      <c r="G34" s="10"/>
      <c r="H34" s="10"/>
    </row>
    <row r="35" spans="1:8" x14ac:dyDescent="0.25">
      <c r="F35" s="10"/>
      <c r="G35" s="10"/>
      <c r="H35" s="10"/>
    </row>
    <row r="36" spans="1:8" ht="25.15" customHeight="1" x14ac:dyDescent="0.25">
      <c r="A36" s="11"/>
      <c r="B36" s="10"/>
      <c r="C36" s="10"/>
      <c r="D36" s="5"/>
      <c r="E36" s="11"/>
      <c r="F36" s="10"/>
      <c r="G36" s="10"/>
      <c r="H36" s="10"/>
    </row>
    <row r="37" spans="1:8" x14ac:dyDescent="0.25">
      <c r="A37" s="5"/>
      <c r="B37" s="5"/>
      <c r="C37" s="5"/>
      <c r="D37" s="5"/>
      <c r="E37" s="5"/>
      <c r="F37" s="5"/>
      <c r="G37" s="5"/>
      <c r="H37" s="5"/>
    </row>
    <row r="38" spans="1:8" x14ac:dyDescent="0.25">
      <c r="A38" s="5"/>
      <c r="B38" s="5"/>
      <c r="C38" s="5"/>
      <c r="D38" s="5"/>
      <c r="E38" s="5"/>
      <c r="F38" s="5"/>
      <c r="G38" s="5"/>
      <c r="H38" s="5"/>
    </row>
    <row r="39" spans="1:8" x14ac:dyDescent="0.25">
      <c r="A39" s="5"/>
      <c r="B39" s="5"/>
      <c r="C39" s="5"/>
      <c r="D39" s="5"/>
      <c r="E39" s="5"/>
      <c r="F39" s="5"/>
      <c r="G39" s="5"/>
      <c r="H39" s="5"/>
    </row>
  </sheetData>
  <sheetProtection sheet="1" objects="1" scenarios="1"/>
  <mergeCells count="16">
    <mergeCell ref="G9:H9"/>
    <mergeCell ref="F32:G33"/>
    <mergeCell ref="H32:H33"/>
    <mergeCell ref="A6:D6"/>
    <mergeCell ref="G6:H6"/>
    <mergeCell ref="A7:D7"/>
    <mergeCell ref="G7:H7"/>
    <mergeCell ref="A8:D8"/>
    <mergeCell ref="G8:H8"/>
    <mergeCell ref="A5:D5"/>
    <mergeCell ref="G5:H5"/>
    <mergeCell ref="A1:H1"/>
    <mergeCell ref="A3:D3"/>
    <mergeCell ref="G3:H3"/>
    <mergeCell ref="A4:D4"/>
    <mergeCell ref="G4:H4"/>
  </mergeCells>
  <phoneticPr fontId="5" type="noConversion"/>
  <conditionalFormatting sqref="H12:H30">
    <cfRule type="expression" dxfId="1" priority="1">
      <formula>$I12=TRUE</formula>
    </cfRule>
  </conditionalFormatting>
  <dataValidations count="1">
    <dataValidation type="whole" operator="greaterThanOrEqual" showErrorMessage="1" errorTitle="Invalid" error="Enter a whole number ≥ 0" sqref="F18:F20 C18:C20" xr:uid="{970BB2AA-B995-4353-814E-B4F62280806B}">
      <formula1>0</formula1>
      <formula2>0</formula2>
    </dataValidation>
  </dataValidations>
  <pageMargins left="0.7" right="0.7" top="1.542" bottom="0.75" header="0.3" footer="0.3"/>
  <pageSetup paperSize="9" scale="68" fitToHeight="0" orientation="portrait" r:id="rId1"/>
  <headerFooter>
    <oddHeader>&amp;L&amp;"-,Bold"&amp;9SITHEMBE TRANSPORTATION AND PROJECTS  &amp;"-,Regular"
VAT No: 4070272101  
285 Erasmus Ave  
Raslouw AH  
Centuiron  
0157  &amp;R&amp;G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4A8B-23FF-479D-B661-FA7717F1F1D9}">
  <sheetPr>
    <pageSetUpPr fitToPage="1"/>
  </sheetPr>
  <dimension ref="A1:K39"/>
  <sheetViews>
    <sheetView view="pageBreakPreview" zoomScaleNormal="100" zoomScaleSheetLayoutView="100" workbookViewId="0">
      <selection activeCell="G21" sqref="G21"/>
    </sheetView>
  </sheetViews>
  <sheetFormatPr defaultRowHeight="15" x14ac:dyDescent="0.25"/>
  <cols>
    <col min="1" max="1" width="13.28515625" bestFit="1" customWidth="1"/>
    <col min="2" max="2" width="18.7109375" bestFit="1" customWidth="1"/>
    <col min="3" max="3" width="23.28515625" bestFit="1" customWidth="1"/>
    <col min="4" max="4" width="13.85546875" bestFit="1" customWidth="1"/>
    <col min="5" max="5" width="13" bestFit="1" customWidth="1"/>
    <col min="6" max="6" width="13.85546875" bestFit="1" customWidth="1"/>
    <col min="7" max="7" width="14.28515625" bestFit="1" customWidth="1"/>
    <col min="8" max="8" width="16.85546875" bestFit="1" customWidth="1"/>
    <col min="9" max="9" width="7.42578125" bestFit="1" customWidth="1"/>
    <col min="10" max="10" width="11.140625" bestFit="1" customWidth="1"/>
    <col min="11" max="11" width="11.42578125" bestFit="1" customWidth="1"/>
    <col min="12" max="12" width="10.7109375" customWidth="1"/>
  </cols>
  <sheetData>
    <row r="1" spans="1:9" ht="23.25" x14ac:dyDescent="0.25">
      <c r="A1" s="86" t="s">
        <v>11</v>
      </c>
      <c r="B1" s="86"/>
      <c r="C1" s="86"/>
      <c r="D1" s="86"/>
      <c r="E1" s="86"/>
      <c r="F1" s="86"/>
      <c r="G1" s="86"/>
      <c r="H1" s="86"/>
    </row>
    <row r="2" spans="1:9" ht="1.9" customHeight="1" x14ac:dyDescent="0.25">
      <c r="A2" s="3"/>
      <c r="B2" s="3"/>
      <c r="C2" s="3"/>
      <c r="D2" s="3"/>
      <c r="E2" s="3"/>
      <c r="F2" s="3"/>
      <c r="G2" s="3"/>
      <c r="H2" s="3"/>
    </row>
    <row r="3" spans="1:9" x14ac:dyDescent="0.25">
      <c r="A3" s="90" t="s">
        <v>0</v>
      </c>
      <c r="B3" s="90"/>
      <c r="C3" s="90"/>
      <c r="D3" s="90"/>
      <c r="E3" s="7"/>
      <c r="F3" s="7"/>
      <c r="G3" s="87" t="s">
        <v>10</v>
      </c>
      <c r="H3" s="87"/>
    </row>
    <row r="4" spans="1:9" x14ac:dyDescent="0.25">
      <c r="A4" s="90" t="s">
        <v>2</v>
      </c>
      <c r="B4" s="90"/>
      <c r="C4" s="90"/>
      <c r="D4" s="90"/>
      <c r="E4" s="7"/>
      <c r="F4" s="7"/>
      <c r="G4" s="88" t="s">
        <v>4</v>
      </c>
      <c r="H4" s="88"/>
    </row>
    <row r="5" spans="1:9" x14ac:dyDescent="0.25">
      <c r="A5" s="90" t="s">
        <v>9</v>
      </c>
      <c r="B5" s="90"/>
      <c r="C5" s="90"/>
      <c r="D5" s="90"/>
      <c r="E5" s="7"/>
      <c r="F5" s="7"/>
      <c r="G5" s="88" t="s">
        <v>5</v>
      </c>
      <c r="H5" s="88"/>
    </row>
    <row r="6" spans="1:9" x14ac:dyDescent="0.25">
      <c r="A6" s="90" t="s">
        <v>1</v>
      </c>
      <c r="B6" s="90"/>
      <c r="C6" s="90"/>
      <c r="D6" s="90"/>
      <c r="E6" s="7"/>
      <c r="F6" s="7"/>
      <c r="G6" s="88" t="s">
        <v>6</v>
      </c>
      <c r="H6" s="88"/>
    </row>
    <row r="7" spans="1:9" x14ac:dyDescent="0.25">
      <c r="A7" s="90" t="s">
        <v>3</v>
      </c>
      <c r="B7" s="90"/>
      <c r="C7" s="90"/>
      <c r="D7" s="90"/>
      <c r="E7" s="7"/>
      <c r="F7" s="7"/>
      <c r="G7" s="89" t="s">
        <v>7</v>
      </c>
      <c r="H7" s="89"/>
    </row>
    <row r="8" spans="1:9" x14ac:dyDescent="0.25">
      <c r="A8" s="88"/>
      <c r="B8" s="88"/>
      <c r="C8" s="88"/>
      <c r="D8" s="88"/>
      <c r="E8" s="7"/>
      <c r="F8" s="7"/>
      <c r="G8" s="84"/>
      <c r="H8" s="84"/>
    </row>
    <row r="9" spans="1:9" x14ac:dyDescent="0.25">
      <c r="A9" s="8"/>
      <c r="B9" s="2"/>
      <c r="C9" s="1"/>
      <c r="D9" s="1"/>
      <c r="E9" s="1"/>
      <c r="F9" s="1"/>
      <c r="G9" s="93">
        <f ca="1">IF(DAY(TODAY())&lt;=Config!$B$3,DATE(YEAR(TODAY()),MONTH(TODAY())-1,Config!$B$2),DATE(YEAR(TODAY()),MONTH(TODAY()),Config!$B$2))</f>
        <v>46229</v>
      </c>
      <c r="H9" s="93"/>
    </row>
    <row r="10" spans="1:9" ht="15.75" thickBot="1" x14ac:dyDescent="0.3">
      <c r="B10" s="6"/>
      <c r="C10" s="6"/>
      <c r="D10" s="6"/>
      <c r="E10" s="7"/>
      <c r="F10" s="7"/>
      <c r="G10" s="7"/>
    </row>
    <row r="11" spans="1:9" ht="16.5" thickBot="1" x14ac:dyDescent="0.3">
      <c r="A11" s="18" t="s">
        <v>8</v>
      </c>
      <c r="B11" s="12" t="s">
        <v>12</v>
      </c>
      <c r="C11" s="12" t="s">
        <v>13</v>
      </c>
      <c r="D11" s="12" t="s">
        <v>14</v>
      </c>
      <c r="E11" s="12" t="s">
        <v>15</v>
      </c>
      <c r="F11" s="13" t="s">
        <v>16</v>
      </c>
      <c r="G11" s="13" t="s">
        <v>17</v>
      </c>
      <c r="H11" s="19" t="s">
        <v>18</v>
      </c>
      <c r="I11" s="9" t="s">
        <v>20</v>
      </c>
    </row>
    <row r="12" spans="1:9" x14ac:dyDescent="0.25">
      <c r="A12" s="70">
        <v>46229</v>
      </c>
      <c r="B12" s="21" t="s">
        <v>35</v>
      </c>
      <c r="C12" s="65" t="str">
        <f t="shared" ref="C12:C30" si="0">IF(B12="","","Toilet Hire and Servicing")</f>
        <v>Toilet Hire and Servicing</v>
      </c>
      <c r="D12" s="22">
        <v>17835</v>
      </c>
      <c r="E12" s="37">
        <f t="shared" ref="E12:E30" si="1">IF(D12="","",D12*0.15)</f>
        <v>2675.25</v>
      </c>
      <c r="F12" s="38">
        <f t="shared" ref="F12:F30" si="2">IF(D12="","",D12+E12)</f>
        <v>20510.25</v>
      </c>
      <c r="G12" s="38">
        <f t="shared" ref="G12:G30" si="3">IF(F12="","",F12)</f>
        <v>20510.25</v>
      </c>
      <c r="H12" s="39" t="str">
        <f t="shared" ref="H12:H30" si="4">IF(I12=TRUE,F12,"")</f>
        <v/>
      </c>
      <c r="I12" s="36" t="b">
        <v>0</v>
      </c>
    </row>
    <row r="13" spans="1:9" x14ac:dyDescent="0.25">
      <c r="A13" s="71"/>
      <c r="B13" s="23"/>
      <c r="C13" s="66" t="str">
        <f t="shared" si="0"/>
        <v/>
      </c>
      <c r="D13" s="24"/>
      <c r="E13" s="40" t="str">
        <f t="shared" si="1"/>
        <v/>
      </c>
      <c r="F13" s="41" t="str">
        <f t="shared" si="2"/>
        <v/>
      </c>
      <c r="G13" s="41" t="str">
        <f t="shared" si="3"/>
        <v/>
      </c>
      <c r="H13" s="42" t="str">
        <f t="shared" si="4"/>
        <v/>
      </c>
      <c r="I13" s="36" t="b">
        <v>0</v>
      </c>
    </row>
    <row r="14" spans="1:9" x14ac:dyDescent="0.25">
      <c r="A14" s="71"/>
      <c r="B14" s="23"/>
      <c r="C14" s="66" t="str">
        <f t="shared" si="0"/>
        <v/>
      </c>
      <c r="D14" s="24"/>
      <c r="E14" s="40" t="str">
        <f t="shared" si="1"/>
        <v/>
      </c>
      <c r="F14" s="41" t="str">
        <f t="shared" si="2"/>
        <v/>
      </c>
      <c r="G14" s="41" t="str">
        <f t="shared" si="3"/>
        <v/>
      </c>
      <c r="H14" s="42" t="str">
        <f t="shared" si="4"/>
        <v/>
      </c>
      <c r="I14" s="36" t="b">
        <v>0</v>
      </c>
    </row>
    <row r="15" spans="1:9" x14ac:dyDescent="0.25">
      <c r="A15" s="71"/>
      <c r="B15" s="23"/>
      <c r="C15" s="66" t="str">
        <f t="shared" si="0"/>
        <v/>
      </c>
      <c r="D15" s="24"/>
      <c r="E15" s="40" t="str">
        <f t="shared" si="1"/>
        <v/>
      </c>
      <c r="F15" s="41" t="str">
        <f t="shared" si="2"/>
        <v/>
      </c>
      <c r="G15" s="41" t="str">
        <f t="shared" si="3"/>
        <v/>
      </c>
      <c r="H15" s="42" t="str">
        <f t="shared" si="4"/>
        <v/>
      </c>
      <c r="I15" s="36" t="b">
        <v>0</v>
      </c>
    </row>
    <row r="16" spans="1:9" x14ac:dyDescent="0.25">
      <c r="A16" s="71"/>
      <c r="B16" s="23"/>
      <c r="C16" s="66" t="str">
        <f t="shared" si="0"/>
        <v/>
      </c>
      <c r="D16" s="24"/>
      <c r="E16" s="40" t="str">
        <f t="shared" si="1"/>
        <v/>
      </c>
      <c r="F16" s="41" t="str">
        <f t="shared" si="2"/>
        <v/>
      </c>
      <c r="G16" s="41" t="str">
        <f t="shared" si="3"/>
        <v/>
      </c>
      <c r="H16" s="42" t="str">
        <f t="shared" si="4"/>
        <v/>
      </c>
      <c r="I16" s="36" t="b">
        <v>0</v>
      </c>
    </row>
    <row r="17" spans="1:11" x14ac:dyDescent="0.25">
      <c r="A17" s="71"/>
      <c r="B17" s="23"/>
      <c r="C17" s="66" t="str">
        <f t="shared" si="0"/>
        <v/>
      </c>
      <c r="D17" s="24"/>
      <c r="E17" s="40" t="str">
        <f t="shared" si="1"/>
        <v/>
      </c>
      <c r="F17" s="41" t="str">
        <f t="shared" si="2"/>
        <v/>
      </c>
      <c r="G17" s="41" t="str">
        <f t="shared" si="3"/>
        <v/>
      </c>
      <c r="H17" s="42" t="str">
        <f t="shared" si="4"/>
        <v/>
      </c>
      <c r="I17" s="36" t="b">
        <v>0</v>
      </c>
    </row>
    <row r="18" spans="1:11" x14ac:dyDescent="0.25">
      <c r="A18" s="73"/>
      <c r="B18" s="27"/>
      <c r="C18" s="49" t="str">
        <f t="shared" si="0"/>
        <v/>
      </c>
      <c r="D18" s="28"/>
      <c r="E18" s="64" t="str">
        <f t="shared" si="1"/>
        <v/>
      </c>
      <c r="F18" s="49" t="str">
        <f t="shared" si="2"/>
        <v/>
      </c>
      <c r="G18" s="64" t="str">
        <f t="shared" si="3"/>
        <v/>
      </c>
      <c r="H18" s="48" t="str">
        <f t="shared" si="4"/>
        <v/>
      </c>
      <c r="I18" s="36" t="b">
        <v>0</v>
      </c>
    </row>
    <row r="19" spans="1:11" x14ac:dyDescent="0.25">
      <c r="A19" s="73"/>
      <c r="B19" s="27"/>
      <c r="C19" s="49" t="str">
        <f t="shared" si="0"/>
        <v/>
      </c>
      <c r="D19" s="28"/>
      <c r="E19" s="46" t="str">
        <f t="shared" si="1"/>
        <v/>
      </c>
      <c r="F19" s="47" t="str">
        <f t="shared" si="2"/>
        <v/>
      </c>
      <c r="G19" s="46" t="str">
        <f t="shared" si="3"/>
        <v/>
      </c>
      <c r="H19" s="48" t="str">
        <f t="shared" si="4"/>
        <v/>
      </c>
      <c r="I19" s="36" t="b">
        <v>0</v>
      </c>
    </row>
    <row r="20" spans="1:11" x14ac:dyDescent="0.25">
      <c r="A20" s="73"/>
      <c r="B20" s="27"/>
      <c r="C20" s="49" t="str">
        <f t="shared" si="0"/>
        <v/>
      </c>
      <c r="D20" s="28"/>
      <c r="E20" s="46" t="str">
        <f t="shared" si="1"/>
        <v/>
      </c>
      <c r="F20" s="49" t="str">
        <f t="shared" si="2"/>
        <v/>
      </c>
      <c r="G20" s="46" t="str">
        <f t="shared" si="3"/>
        <v/>
      </c>
      <c r="H20" s="50" t="str">
        <f t="shared" si="4"/>
        <v/>
      </c>
      <c r="I20" s="36" t="b">
        <v>0</v>
      </c>
    </row>
    <row r="21" spans="1:11" x14ac:dyDescent="0.25">
      <c r="A21" s="74"/>
      <c r="B21" s="29"/>
      <c r="C21" s="67" t="str">
        <f t="shared" si="0"/>
        <v/>
      </c>
      <c r="D21" s="29"/>
      <c r="E21" s="51" t="str">
        <f t="shared" si="1"/>
        <v/>
      </c>
      <c r="F21" s="51" t="str">
        <f t="shared" si="2"/>
        <v/>
      </c>
      <c r="G21" s="52" t="str">
        <f t="shared" si="3"/>
        <v/>
      </c>
      <c r="H21" s="53" t="str">
        <f t="shared" si="4"/>
        <v/>
      </c>
      <c r="I21" s="36" t="b">
        <v>0</v>
      </c>
    </row>
    <row r="22" spans="1:11" x14ac:dyDescent="0.25">
      <c r="A22" s="74"/>
      <c r="B22" s="30"/>
      <c r="C22" s="68" t="str">
        <f t="shared" si="0"/>
        <v/>
      </c>
      <c r="D22" s="30"/>
      <c r="E22" s="54" t="str">
        <f t="shared" si="1"/>
        <v/>
      </c>
      <c r="F22" s="55" t="str">
        <f t="shared" si="2"/>
        <v/>
      </c>
      <c r="G22" s="54" t="str">
        <f t="shared" si="3"/>
        <v/>
      </c>
      <c r="H22" s="56" t="str">
        <f t="shared" si="4"/>
        <v/>
      </c>
      <c r="I22" s="36" t="b">
        <v>0</v>
      </c>
    </row>
    <row r="23" spans="1:11" x14ac:dyDescent="0.25">
      <c r="A23" s="74"/>
      <c r="B23" s="29"/>
      <c r="C23" s="67" t="str">
        <f t="shared" si="0"/>
        <v/>
      </c>
      <c r="D23" s="29"/>
      <c r="E23" s="5" t="str">
        <f t="shared" si="1"/>
        <v/>
      </c>
      <c r="F23" s="5" t="str">
        <f t="shared" si="2"/>
        <v/>
      </c>
      <c r="G23" s="51" t="str">
        <f t="shared" si="3"/>
        <v/>
      </c>
      <c r="H23" s="56" t="str">
        <f t="shared" si="4"/>
        <v/>
      </c>
      <c r="I23" s="36" t="b">
        <v>0</v>
      </c>
    </row>
    <row r="24" spans="1:11" ht="15.75" x14ac:dyDescent="0.25">
      <c r="A24" s="75"/>
      <c r="B24" s="31"/>
      <c r="C24" s="60" t="str">
        <f t="shared" si="0"/>
        <v/>
      </c>
      <c r="D24" s="32"/>
      <c r="E24" s="57" t="str">
        <f t="shared" si="1"/>
        <v/>
      </c>
      <c r="F24" s="57" t="str">
        <f t="shared" si="2"/>
        <v/>
      </c>
      <c r="G24" s="57" t="str">
        <f t="shared" si="3"/>
        <v/>
      </c>
      <c r="H24" s="58" t="str">
        <f t="shared" si="4"/>
        <v/>
      </c>
      <c r="I24" s="36" t="b">
        <v>0</v>
      </c>
    </row>
    <row r="25" spans="1:11" x14ac:dyDescent="0.25">
      <c r="A25" s="76"/>
      <c r="B25" s="33"/>
      <c r="C25" s="69" t="str">
        <f t="shared" si="0"/>
        <v/>
      </c>
      <c r="D25" s="34"/>
      <c r="E25" s="59" t="str">
        <f t="shared" si="1"/>
        <v/>
      </c>
      <c r="F25" s="59" t="str">
        <f t="shared" si="2"/>
        <v/>
      </c>
      <c r="G25" s="59" t="str">
        <f t="shared" si="3"/>
        <v/>
      </c>
      <c r="H25" s="53" t="str">
        <f t="shared" si="4"/>
        <v/>
      </c>
      <c r="I25" s="36" t="b">
        <v>0</v>
      </c>
    </row>
    <row r="26" spans="1:11" x14ac:dyDescent="0.25">
      <c r="A26" s="76"/>
      <c r="B26" s="33"/>
      <c r="C26" s="69" t="str">
        <f t="shared" si="0"/>
        <v/>
      </c>
      <c r="D26" s="31"/>
      <c r="E26" s="60" t="str">
        <f t="shared" si="1"/>
        <v/>
      </c>
      <c r="F26" s="60" t="str">
        <f t="shared" si="2"/>
        <v/>
      </c>
      <c r="G26" s="60" t="str">
        <f t="shared" si="3"/>
        <v/>
      </c>
      <c r="H26" s="61" t="str">
        <f t="shared" si="4"/>
        <v/>
      </c>
      <c r="I26" s="36" t="b">
        <v>0</v>
      </c>
    </row>
    <row r="27" spans="1:11" x14ac:dyDescent="0.25">
      <c r="A27" s="77"/>
      <c r="B27" s="33"/>
      <c r="C27" s="69" t="str">
        <f t="shared" si="0"/>
        <v/>
      </c>
      <c r="D27" s="35"/>
      <c r="E27" s="10" t="str">
        <f t="shared" si="1"/>
        <v/>
      </c>
      <c r="F27" s="10" t="str">
        <f t="shared" si="2"/>
        <v/>
      </c>
      <c r="G27" s="10" t="str">
        <f t="shared" si="3"/>
        <v/>
      </c>
      <c r="H27" s="62" t="str">
        <f t="shared" si="4"/>
        <v/>
      </c>
      <c r="I27" s="36" t="b">
        <v>0</v>
      </c>
    </row>
    <row r="28" spans="1:11" x14ac:dyDescent="0.25">
      <c r="A28" s="77"/>
      <c r="B28" s="33"/>
      <c r="C28" s="69" t="str">
        <f t="shared" si="0"/>
        <v/>
      </c>
      <c r="D28" s="35"/>
      <c r="E28" s="10" t="str">
        <f t="shared" si="1"/>
        <v/>
      </c>
      <c r="F28" s="10" t="str">
        <f t="shared" si="2"/>
        <v/>
      </c>
      <c r="G28" s="10" t="str">
        <f t="shared" si="3"/>
        <v/>
      </c>
      <c r="H28" s="62" t="str">
        <f t="shared" si="4"/>
        <v/>
      </c>
      <c r="I28" s="36" t="b">
        <v>0</v>
      </c>
    </row>
    <row r="29" spans="1:11" x14ac:dyDescent="0.25">
      <c r="A29" s="77"/>
      <c r="B29" s="33"/>
      <c r="C29" s="69" t="str">
        <f t="shared" si="0"/>
        <v/>
      </c>
      <c r="D29" s="35"/>
      <c r="E29" s="11" t="str">
        <f t="shared" si="1"/>
        <v/>
      </c>
      <c r="F29" s="11" t="str">
        <f t="shared" si="2"/>
        <v/>
      </c>
      <c r="G29" s="11" t="str">
        <f t="shared" si="3"/>
        <v/>
      </c>
      <c r="H29" s="63" t="str">
        <f t="shared" si="4"/>
        <v/>
      </c>
      <c r="I29" s="36" t="b">
        <v>0</v>
      </c>
    </row>
    <row r="30" spans="1:11" x14ac:dyDescent="0.25">
      <c r="A30" s="77"/>
      <c r="B30" s="33"/>
      <c r="C30" s="69" t="str">
        <f t="shared" si="0"/>
        <v/>
      </c>
      <c r="D30" s="35"/>
      <c r="E30" s="10" t="str">
        <f t="shared" si="1"/>
        <v/>
      </c>
      <c r="F30" s="10" t="str">
        <f t="shared" si="2"/>
        <v/>
      </c>
      <c r="G30" s="10" t="str">
        <f t="shared" si="3"/>
        <v/>
      </c>
      <c r="H30" s="62" t="str">
        <f t="shared" si="4"/>
        <v/>
      </c>
      <c r="I30" s="36" t="b">
        <v>0</v>
      </c>
    </row>
    <row r="31" spans="1:11" ht="15.75" thickBot="1" x14ac:dyDescent="0.3">
      <c r="A31" s="20"/>
      <c r="B31" s="20"/>
      <c r="C31" s="20"/>
      <c r="D31" s="5"/>
      <c r="E31" s="10"/>
      <c r="F31" s="10"/>
      <c r="G31" s="10"/>
      <c r="H31" s="10"/>
      <c r="K31" s="4"/>
    </row>
    <row r="32" spans="1:11" ht="18.600000000000001" customHeight="1" x14ac:dyDescent="0.25">
      <c r="A32" s="14"/>
      <c r="B32" s="15" t="s">
        <v>25</v>
      </c>
      <c r="C32" s="15" t="s">
        <v>24</v>
      </c>
      <c r="D32" s="16" t="s">
        <v>23</v>
      </c>
      <c r="E32" s="15" t="s">
        <v>22</v>
      </c>
      <c r="F32" s="82" t="s">
        <v>21</v>
      </c>
      <c r="G32" s="82"/>
      <c r="H32" s="91">
        <f>SUMIF($H$12:$H$30,"",$F$12:$F$30)</f>
        <v>20510.25</v>
      </c>
    </row>
    <row r="33" spans="1:8" ht="31.9" customHeight="1" thickBot="1" x14ac:dyDescent="0.3">
      <c r="A33" s="17"/>
      <c r="B33" s="79">
        <f ca="1">SUMIFS($F$12:$F$30,$H$12:$H$30,"",$A$12:$A$30,"&lt;"&amp;DATE(YEAR($G$9),MONTH($G$9)-2,1))</f>
        <v>0</v>
      </c>
      <c r="C33" s="79">
        <f ca="1">SUMIFS($F$12:$F$30,$H$12:$H$30,"",$A$12:$A$30,"&gt;="&amp;DATE(YEAR($G$9),MONTH($G$9)-2,1),$A$12:$A$30,"&lt;="&amp;EOMONTH($G$9,-2))</f>
        <v>0</v>
      </c>
      <c r="D33" s="79">
        <f ca="1">SUMIFS($F$12:$F$30,$H$12:$H$30,"",$A$12:$A$30,"&gt;="&amp;DATE(YEAR($G$9),MONTH($G$9)-1,1),$A$12:$A$30,"&lt;="&amp;EOMONTH($G$9,-1))</f>
        <v>0</v>
      </c>
      <c r="E33" s="79">
        <f ca="1">SUMIFS($F$12:$F$30,$H$12:$H$30,"",$A$12:$A$30,"&gt;="&amp;DATE(YEAR($G$9),MONTH($G$9),1),$A$12:$A$30,"&lt;="&amp;EOMONTH($G$9,0))</f>
        <v>20510.25</v>
      </c>
      <c r="F33" s="83"/>
      <c r="G33" s="83"/>
      <c r="H33" s="92"/>
    </row>
    <row r="34" spans="1:8" x14ac:dyDescent="0.25">
      <c r="F34" s="10"/>
      <c r="G34" s="10"/>
      <c r="H34" s="10"/>
    </row>
    <row r="35" spans="1:8" x14ac:dyDescent="0.25">
      <c r="F35" s="10"/>
      <c r="G35" s="10"/>
      <c r="H35" s="10"/>
    </row>
    <row r="36" spans="1:8" ht="25.15" customHeight="1" x14ac:dyDescent="0.25">
      <c r="A36" s="11"/>
      <c r="B36" s="10"/>
      <c r="C36" s="10"/>
      <c r="D36" s="5"/>
      <c r="E36" s="11"/>
      <c r="F36" s="10"/>
      <c r="G36" s="10"/>
      <c r="H36" s="10"/>
    </row>
    <row r="37" spans="1:8" x14ac:dyDescent="0.25">
      <c r="A37" s="5"/>
      <c r="B37" s="5"/>
      <c r="C37" s="5"/>
      <c r="D37" s="5"/>
      <c r="E37" s="5"/>
      <c r="F37" s="5"/>
      <c r="G37" s="5"/>
      <c r="H37" s="5"/>
    </row>
    <row r="38" spans="1:8" x14ac:dyDescent="0.25">
      <c r="A38" s="5"/>
      <c r="B38" s="5"/>
      <c r="C38" s="5"/>
      <c r="D38" s="5"/>
      <c r="E38" s="5"/>
      <c r="F38" s="5"/>
      <c r="G38" s="5"/>
      <c r="H38" s="5"/>
    </row>
    <row r="39" spans="1:8" x14ac:dyDescent="0.25">
      <c r="A39" s="5"/>
      <c r="B39" s="5"/>
      <c r="C39" s="5"/>
      <c r="D39" s="5"/>
      <c r="E39" s="5"/>
      <c r="F39" s="5"/>
      <c r="G39" s="5"/>
      <c r="H39" s="5"/>
    </row>
  </sheetData>
  <sheetProtection sheet="1" objects="1" scenarios="1"/>
  <mergeCells count="16">
    <mergeCell ref="A5:D5"/>
    <mergeCell ref="G5:H5"/>
    <mergeCell ref="A1:H1"/>
    <mergeCell ref="A3:D3"/>
    <mergeCell ref="G3:H3"/>
    <mergeCell ref="A4:D4"/>
    <mergeCell ref="G4:H4"/>
    <mergeCell ref="G9:H9"/>
    <mergeCell ref="F32:G33"/>
    <mergeCell ref="H32:H33"/>
    <mergeCell ref="A6:D6"/>
    <mergeCell ref="G6:H6"/>
    <mergeCell ref="A7:D7"/>
    <mergeCell ref="G7:H7"/>
    <mergeCell ref="A8:D8"/>
    <mergeCell ref="G8:H8"/>
  </mergeCells>
  <conditionalFormatting sqref="H12:H30">
    <cfRule type="expression" dxfId="0" priority="1">
      <formula>$I12=TRUE</formula>
    </cfRule>
  </conditionalFormatting>
  <dataValidations count="1">
    <dataValidation type="whole" operator="greaterThanOrEqual" showErrorMessage="1" errorTitle="Invalid" error="Enter a whole number ≥ 0" sqref="F18:F20 C18:C20" xr:uid="{B65A5A52-354B-4AE1-A001-97D6337BCE01}">
      <formula1>0</formula1>
      <formula2>0</formula2>
    </dataValidation>
  </dataValidations>
  <pageMargins left="0.7" right="0.7" top="1.542" bottom="0.75" header="0.3" footer="0.3"/>
  <pageSetup paperSize="9" scale="68" fitToHeight="0" orientation="portrait" r:id="rId1"/>
  <headerFooter>
    <oddHeader>&amp;L&amp;"-,Bold"&amp;9SITHEMBE TRANSPORTATION AND PROJECTS  &amp;"-,Regular"
VAT No: 4070272101  
285 Erasmus Ave  
Raslouw AH  
Centuiron  
0157  &amp;R&amp;G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551C-0532-4474-B87A-672B2CBCB5C6}">
  <sheetPr>
    <pageSetUpPr fitToPage="1"/>
  </sheetPr>
  <dimension ref="A1:C17"/>
  <sheetViews>
    <sheetView view="pageBreakPreview" zoomScaleNormal="100" zoomScaleSheetLayoutView="100" workbookViewId="0">
      <selection activeCell="D12" sqref="D12"/>
    </sheetView>
  </sheetViews>
  <sheetFormatPr defaultRowHeight="15" x14ac:dyDescent="0.25"/>
  <cols>
    <col min="1" max="1" width="25.7109375" bestFit="1" customWidth="1"/>
    <col min="2" max="2" width="6.140625" bestFit="1" customWidth="1"/>
    <col min="3" max="3" width="72.5703125" bestFit="1" customWidth="1"/>
  </cols>
  <sheetData>
    <row r="1" spans="1:3" x14ac:dyDescent="0.25">
      <c r="A1" s="78" t="s">
        <v>36</v>
      </c>
      <c r="B1" s="78" t="s">
        <v>37</v>
      </c>
      <c r="C1" s="78" t="s">
        <v>13</v>
      </c>
    </row>
    <row r="2" spans="1:3" x14ac:dyDescent="0.25">
      <c r="A2" t="s">
        <v>38</v>
      </c>
      <c r="B2">
        <v>26</v>
      </c>
      <c r="C2" t="s">
        <v>44</v>
      </c>
    </row>
    <row r="3" spans="1:3" x14ac:dyDescent="0.25">
      <c r="A3" t="s">
        <v>39</v>
      </c>
      <c r="B3">
        <v>10</v>
      </c>
      <c r="C3" t="s">
        <v>45</v>
      </c>
    </row>
    <row r="4" spans="1:3" x14ac:dyDescent="0.25">
      <c r="A4" t="s">
        <v>40</v>
      </c>
      <c r="B4">
        <v>0.15</v>
      </c>
      <c r="C4" t="s">
        <v>46</v>
      </c>
    </row>
    <row r="5" spans="1:3" x14ac:dyDescent="0.25">
      <c r="A5" t="s">
        <v>41</v>
      </c>
      <c r="B5">
        <v>26</v>
      </c>
      <c r="C5" t="s">
        <v>47</v>
      </c>
    </row>
    <row r="6" spans="1:3" x14ac:dyDescent="0.25">
      <c r="A6" t="s">
        <v>42</v>
      </c>
      <c r="B6">
        <v>25</v>
      </c>
      <c r="C6" t="s">
        <v>48</v>
      </c>
    </row>
    <row r="7" spans="1:3" x14ac:dyDescent="0.25">
      <c r="A7" t="s">
        <v>43</v>
      </c>
      <c r="C7" t="s">
        <v>49</v>
      </c>
    </row>
    <row r="9" spans="1:3" ht="15.75" x14ac:dyDescent="0.25">
      <c r="A9" s="81" t="s">
        <v>50</v>
      </c>
      <c r="B9" s="81"/>
      <c r="C9" s="81"/>
    </row>
    <row r="10" spans="1:3" x14ac:dyDescent="0.25">
      <c r="A10" s="80" t="s">
        <v>51</v>
      </c>
      <c r="B10" s="80"/>
      <c r="C10" s="80"/>
    </row>
    <row r="11" spans="1:3" x14ac:dyDescent="0.25">
      <c r="A11" s="80" t="s">
        <v>52</v>
      </c>
      <c r="B11" s="80"/>
      <c r="C11" s="80"/>
    </row>
    <row r="12" spans="1:3" x14ac:dyDescent="0.25">
      <c r="A12" s="80" t="s">
        <v>53</v>
      </c>
      <c r="B12" s="80"/>
      <c r="C12" s="80"/>
    </row>
    <row r="13" spans="1:3" x14ac:dyDescent="0.25">
      <c r="A13" s="80" t="s">
        <v>54</v>
      </c>
      <c r="B13" s="80"/>
      <c r="C13" s="80"/>
    </row>
    <row r="14" spans="1:3" x14ac:dyDescent="0.25">
      <c r="A14" s="80" t="s">
        <v>55</v>
      </c>
      <c r="B14" s="80"/>
      <c r="C14" s="80"/>
    </row>
    <row r="15" spans="1:3" x14ac:dyDescent="0.25">
      <c r="A15" s="80"/>
      <c r="B15" s="80"/>
      <c r="C15" s="80"/>
    </row>
    <row r="16" spans="1:3" x14ac:dyDescent="0.25">
      <c r="A16" s="80" t="s">
        <v>56</v>
      </c>
      <c r="B16" s="80"/>
      <c r="C16" s="80"/>
    </row>
    <row r="17" spans="1:3" x14ac:dyDescent="0.25">
      <c r="A17" s="80" t="str">
        <f ca="1">"Current Statement Date: "&amp;TEXT(IF(DAY(TODAY())&lt;=B3,DATE(YEAR(TODAY()),MONTH(TODAY())-1,B2),DATE(YEAR(TODAY()),MONTH(TODAY()),B2)),"DD MMMM YYYY")</f>
        <v>Current Statement Date: 26 July 2026</v>
      </c>
      <c r="B17" s="80"/>
      <c r="C17" s="80"/>
    </row>
  </sheetData>
  <mergeCells count="9">
    <mergeCell ref="A15:C15"/>
    <mergeCell ref="A16:C16"/>
    <mergeCell ref="A17:C17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A508E1-F889-4FB4-81BC-717A64C59A25}">
  <ds:schemaRefs>
    <ds:schemaRef ds:uri="f62d4ef4-b04a-4b31-a502-7b4d1ae74549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3e1fb217-3513-4a84-b39a-87d8fab7c42d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Invoice - Region 2</vt:lpstr>
      <vt:lpstr>Invoice - Region 5</vt:lpstr>
      <vt:lpstr>Invoice - Region 5-Leeuwfontein</vt:lpstr>
      <vt:lpstr>Config</vt:lpstr>
      <vt:lpstr>'Invoice - Region 2'!Print_Area</vt:lpstr>
      <vt:lpstr>'Invoice - Region 5'!Print_Area</vt:lpstr>
      <vt:lpstr>'Invoice - Region 5-Leeuwfontein'!Print_Area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2026-07-20T09:08:18Z</cp:lastPrinted>
  <dcterms:created xsi:type="dcterms:W3CDTF">2015-06-05T18:17:20Z</dcterms:created>
  <dcterms:modified xsi:type="dcterms:W3CDTF">2026-07-21T06:30:19Z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