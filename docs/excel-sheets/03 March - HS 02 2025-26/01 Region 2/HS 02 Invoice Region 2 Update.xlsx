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3 March/03 - HS 02 2025-26/01 Region 2/"/>
    </mc:Choice>
  </mc:AlternateContent>
  <xr:revisionPtr revIDLastSave="3856" documentId="8_{65C3188A-7AAC-46B3-8E26-6C3ADEBF530F}" xr6:coauthVersionLast="47" xr6:coauthVersionMax="47" xr10:uidLastSave="{5E0E405F-1426-435F-B4D8-BD09D9E60841}"/>
  <bookViews>
    <workbookView xWindow="-108" yWindow="-108" windowWidth="23256" windowHeight="13896" tabRatio="870" activeTab="1" xr2:uid="{00000000-000D-0000-FFFF-FFFF00000000}"/>
  </bookViews>
  <sheets>
    <sheet name="Invoice — Region 2" sheetId="14" r:id="rId1"/>
    <sheet name="Service Notes" sheetId="23" r:id="rId2"/>
    <sheet name="Clearning Schedule" sheetId="27" r:id="rId3"/>
    <sheet name="EPWP Employees" sheetId="26" r:id="rId4"/>
  </sheets>
  <definedNames>
    <definedName name="_xlnm.Print_Area" localSheetId="2">'Clearning Schedule'!$A$1:$D$27</definedName>
    <definedName name="_xlnm.Print_Area" localSheetId="3">'EPWP Employees'!$A$1:$E$69</definedName>
    <definedName name="_xlnm.Print_Area" localSheetId="0">'Invoice — Region 2'!$A$1:$H$55</definedName>
    <definedName name="_xlnm.Print_Area" localSheetId="1">'Service Notes'!$A$1:$J$29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23" l="1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8" i="23"/>
  <c r="J9" i="23"/>
  <c r="F22" i="14" s="1"/>
  <c r="G22" i="14" s="1"/>
  <c r="J10" i="23"/>
  <c r="J11" i="23"/>
  <c r="J12" i="23"/>
  <c r="J13" i="23"/>
  <c r="J14" i="23"/>
  <c r="J15" i="23"/>
  <c r="J16" i="23"/>
  <c r="J17" i="23"/>
  <c r="J18" i="23"/>
  <c r="F31" i="14" s="1"/>
  <c r="G31" i="14" s="1"/>
  <c r="J19" i="23"/>
  <c r="F32" i="14" s="1"/>
  <c r="G32" i="14" s="1"/>
  <c r="J20" i="23"/>
  <c r="F33" i="14" s="1"/>
  <c r="G33" i="14" s="1"/>
  <c r="J21" i="23"/>
  <c r="J22" i="23"/>
  <c r="J8" i="23"/>
  <c r="G23" i="14"/>
  <c r="F24" i="14"/>
  <c r="G24" i="14" s="1"/>
  <c r="F25" i="14"/>
  <c r="G25" i="14" s="1"/>
  <c r="F26" i="14"/>
  <c r="G26" i="14" s="1"/>
  <c r="F27" i="14"/>
  <c r="G27" i="14" s="1"/>
  <c r="F28" i="14"/>
  <c r="G28" i="14" s="1"/>
  <c r="F29" i="14"/>
  <c r="G29" i="14" s="1"/>
  <c r="F30" i="14"/>
  <c r="G30" i="14" s="1"/>
  <c r="F34" i="14"/>
  <c r="G34" i="14" s="1"/>
  <c r="F35" i="14"/>
  <c r="G35" i="14" s="1"/>
  <c r="F21" i="14"/>
  <c r="G21" i="14" s="1"/>
  <c r="E22" i="14"/>
  <c r="E23" i="14"/>
  <c r="E25" i="14"/>
  <c r="E27" i="14"/>
  <c r="E29" i="14"/>
  <c r="E31" i="14"/>
  <c r="E32" i="14"/>
  <c r="E34" i="14"/>
  <c r="E35" i="14"/>
  <c r="E21" i="14"/>
  <c r="A21" i="23"/>
  <c r="A22" i="23"/>
  <c r="A9" i="23"/>
  <c r="A10" i="23"/>
  <c r="A11" i="23"/>
  <c r="A12" i="23"/>
  <c r="A13" i="23"/>
  <c r="A14" i="23"/>
  <c r="A15" i="23"/>
  <c r="A17" i="23"/>
  <c r="A18" i="23"/>
  <c r="A19" i="23"/>
  <c r="A20" i="23"/>
  <c r="H36" i="14"/>
  <c r="A8" i="23"/>
  <c r="C39" i="14"/>
  <c r="G37" i="14"/>
  <c r="E37" i="14"/>
  <c r="D37" i="14"/>
  <c r="G36" i="14"/>
  <c r="E36" i="14"/>
  <c r="D36" i="14"/>
  <c r="H22" i="14" l="1"/>
  <c r="A51" i="14"/>
  <c r="H25" i="14" l="1"/>
  <c r="E28" i="14"/>
  <c r="E24" i="14"/>
  <c r="E26" i="14"/>
  <c r="E33" i="14"/>
  <c r="E30" i="14"/>
  <c r="E39" i="14" l="1"/>
  <c r="H21" i="14"/>
  <c r="H23" i="14"/>
  <c r="H24" i="14" l="1"/>
  <c r="H26" i="14" l="1"/>
  <c r="H27" i="14" l="1"/>
  <c r="H28" i="14" l="1"/>
  <c r="H29" i="14" l="1"/>
  <c r="H30" i="14" l="1"/>
  <c r="H31" i="14" l="1"/>
  <c r="H32" i="14" l="1"/>
  <c r="H33" i="14" l="1"/>
  <c r="H35" i="14" l="1"/>
  <c r="H34" i="14"/>
  <c r="G39" i="14" l="1"/>
  <c r="H39" i="14" s="1"/>
  <c r="H40" i="14" s="1"/>
  <c r="H41" i="14" s="1"/>
  <c r="I39" i="1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<sst xmlns="http://schemas.openxmlformats.org/spreadsheetml/2006/main" count="308" uniqueCount="150">
  <si>
    <t>Date:</t>
  </si>
  <si>
    <t>Signature:</t>
  </si>
  <si>
    <t>Tel: 012 880 3155  |  Cell: 073 124 1535  |  Fax: 086 603 7935</t>
  </si>
  <si>
    <t>Invoice Date:</t>
  </si>
  <si>
    <t>Service Period:</t>
  </si>
  <si>
    <t>Tax Invoice No:</t>
  </si>
  <si>
    <t>BILL TO:</t>
  </si>
  <si>
    <t>Region:</t>
  </si>
  <si>
    <t>Region 2</t>
  </si>
  <si>
    <t>#</t>
  </si>
  <si>
    <t>Qty
(Units)</t>
  </si>
  <si>
    <t>Days in
Period</t>
  </si>
  <si>
    <t>No of
Services</t>
  </si>
  <si>
    <t>Marokolong</t>
  </si>
  <si>
    <t>Hammanskraal Ext 4</t>
  </si>
  <si>
    <t>Hammanskraal portion 9 &amp; 10</t>
  </si>
  <si>
    <t>Soshanguve X Buffer C</t>
  </si>
  <si>
    <t>Soshanguve X Buffer D</t>
  </si>
  <si>
    <t>Soshanguve X Buffer Civcon</t>
  </si>
  <si>
    <t>Dali Mpofu</t>
  </si>
  <si>
    <t>Stinkwater</t>
  </si>
  <si>
    <t>Stinkwater Ext 10</t>
  </si>
  <si>
    <t>Chris Hani</t>
  </si>
  <si>
    <t>Phomolong Phase 1</t>
  </si>
  <si>
    <t>BANKING DETAILS</t>
  </si>
  <si>
    <t>VAT @ 15%</t>
  </si>
  <si>
    <t>SERVICE</t>
  </si>
  <si>
    <t>SUB TOTALS</t>
  </si>
  <si>
    <t>TOWNSHIP / INFORMAL SETTLEMENT</t>
  </si>
  <si>
    <t>Account Holder: Sithembe Transportation and Projects (Pty) Ltd</t>
  </si>
  <si>
    <t>Bank: Nedbank Limited</t>
  </si>
  <si>
    <t>Branch Code: 198765</t>
  </si>
  <si>
    <t>Service Provider Signature:</t>
  </si>
  <si>
    <t>City of Tshwane Official:</t>
  </si>
  <si>
    <t>Reg No: 2013/029173/07 |  www.sithembe.co.za</t>
  </si>
  <si>
    <t>SITHEMBE TRANSPORTATION &amp; PROJECTS</t>
  </si>
  <si>
    <t>Sub Totals</t>
  </si>
  <si>
    <t>Gross Total</t>
  </si>
  <si>
    <t>Email: accounts@sithembe.co.za  |  info@sithembe.co.za</t>
  </si>
  <si>
    <t>RENTALS &amp; RELOCATIONS</t>
  </si>
  <si>
    <t>LOCATION</t>
  </si>
  <si>
    <t>FULLNAME</t>
  </si>
  <si>
    <t>ID NUMBER</t>
  </si>
  <si>
    <t>POSITION</t>
  </si>
  <si>
    <t>EPWP Employee List</t>
  </si>
  <si>
    <t>Tax Invoice</t>
  </si>
  <si>
    <t>Phuti Kololo</t>
  </si>
  <si>
    <t>Angelina Nomsa Ndlela</t>
  </si>
  <si>
    <t>Sbongile Josephine Vilakazi</t>
  </si>
  <si>
    <t>Pop Johannes Sebaiwa</t>
  </si>
  <si>
    <t>Sebakiswe Florah Makala</t>
  </si>
  <si>
    <t>Tiny Johanna Pine</t>
  </si>
  <si>
    <t>Gomolemo Ndlovu</t>
  </si>
  <si>
    <t>Ntsako Kubai</t>
  </si>
  <si>
    <t>Dorcas Marutlolle</t>
  </si>
  <si>
    <t>Rebecca Violet Kubeka</t>
  </si>
  <si>
    <t>Olivia Kateko Khoza</t>
  </si>
  <si>
    <t>Lepatla Goodwill Ngoetjana</t>
  </si>
  <si>
    <t>Jabulani Martin Kubeka</t>
  </si>
  <si>
    <t>Sindile Prudence Maimogole</t>
  </si>
  <si>
    <t>Soshanguve X - Buffer D</t>
  </si>
  <si>
    <t>Soshanguve X - Buffer Civcon</t>
  </si>
  <si>
    <t>Seipati Anna Makgethe</t>
  </si>
  <si>
    <t>Lebogang Tlou</t>
  </si>
  <si>
    <t>Dovhani Mulaudzi</t>
  </si>
  <si>
    <t>Sibongile Mkoko</t>
  </si>
  <si>
    <t>Soshanguve X - Buffer C</t>
  </si>
  <si>
    <t>Karabo Ramalepe</t>
  </si>
  <si>
    <t>Sindy Klein</t>
  </si>
  <si>
    <t>Matome  Mahasha</t>
  </si>
  <si>
    <t>Thandeka Radebe</t>
  </si>
  <si>
    <t>Phomolong (Phase 1)</t>
  </si>
  <si>
    <t>Mavis Ratlhagane</t>
  </si>
  <si>
    <t>Tsholofelo Selinah Mogoto</t>
  </si>
  <si>
    <t>Nono Pauline Moima</t>
  </si>
  <si>
    <t>Lindiwe Prudence Mahlangu</t>
  </si>
  <si>
    <t>Elsie Makganana Mabasu</t>
  </si>
  <si>
    <t xml:space="preserve"> Phenki Mmatlwa</t>
  </si>
  <si>
    <t>Morokolong/ Marokolong</t>
  </si>
  <si>
    <t>Martha Maluleke</t>
  </si>
  <si>
    <t>George Mlambo</t>
  </si>
  <si>
    <t>Phinah Itumeleng Sekhaolelo</t>
  </si>
  <si>
    <t>Anna Dipuo Ndlovu</t>
  </si>
  <si>
    <t>Bridget Maila</t>
  </si>
  <si>
    <t>Esther Chauke</t>
  </si>
  <si>
    <t>Thato Austin Moja</t>
  </si>
  <si>
    <t>Gabezwane Charles Mahlangu</t>
  </si>
  <si>
    <t>Tsholofelo Michael Tshehlo</t>
  </si>
  <si>
    <t>Hammaskraal Portion 9 &amp; 10</t>
  </si>
  <si>
    <t>Margaret Mosoma</t>
  </si>
  <si>
    <t>Keamogetswe Ntshane</t>
  </si>
  <si>
    <t>Rebecca Mashigo</t>
  </si>
  <si>
    <t xml:space="preserve"> Johanna Mthombeni</t>
  </si>
  <si>
    <t>Martha Tshabalala</t>
  </si>
  <si>
    <t>Flora Shongwane</t>
  </si>
  <si>
    <t>Stella Baloyi</t>
  </si>
  <si>
    <t>Sibongile Mashiloane</t>
  </si>
  <si>
    <t>Alphinah Sebatjane</t>
  </si>
  <si>
    <t>Koketso Morudu</t>
  </si>
  <si>
    <t>Patronell Paries</t>
  </si>
  <si>
    <t>Hammaskraal Ext 5</t>
  </si>
  <si>
    <t>Hammaskraal Ext 6</t>
  </si>
  <si>
    <t>Mabatho Ngobeni</t>
  </si>
  <si>
    <t>Salaminah Matlou</t>
  </si>
  <si>
    <t>Martha Mashele</t>
  </si>
  <si>
    <t>Agnes Phala</t>
  </si>
  <si>
    <t>Tebogo Mashele</t>
  </si>
  <si>
    <t>'7311161001080</t>
  </si>
  <si>
    <t>JOE MAKHUBELA</t>
  </si>
  <si>
    <t>ELSIE MAHASHA</t>
  </si>
  <si>
    <t>SOLOMON ZIMU</t>
  </si>
  <si>
    <t>PAULINA MORWA</t>
  </si>
  <si>
    <t>LUCKY BALOYI</t>
  </si>
  <si>
    <t>VICTORIA GUMEDE</t>
  </si>
  <si>
    <t>URSULA KGOPA</t>
  </si>
  <si>
    <t>Coordinator</t>
  </si>
  <si>
    <t>Cleaner</t>
  </si>
  <si>
    <t>STP/INV/26/0353</t>
  </si>
  <si>
    <t>Rental Amount
R11.50</t>
  </si>
  <si>
    <t>Service Amount
R96.50</t>
  </si>
  <si>
    <t>Themba View Ext 1</t>
  </si>
  <si>
    <t>MONDAY</t>
  </si>
  <si>
    <t>THURSDAY</t>
  </si>
  <si>
    <t>Contract Ref: HS 02-2025/26</t>
  </si>
  <si>
    <t>City of Tshwane</t>
  </si>
  <si>
    <t>PO Box 6338</t>
  </si>
  <si>
    <t>Pretoria</t>
  </si>
  <si>
    <t>0001</t>
  </si>
  <si>
    <t>Tel: 012 358 3368</t>
  </si>
  <si>
    <t>01 Mar 2026 - 25 Mar 2026</t>
  </si>
  <si>
    <t>City of Thswane</t>
  </si>
  <si>
    <t>Hiring and Servicing of chemical toilets</t>
  </si>
  <si>
    <t>HS 02-2025/26</t>
  </si>
  <si>
    <t>Service Notes (From 1 March 2026 To 25 March 2026)</t>
  </si>
  <si>
    <t>Date</t>
  </si>
  <si>
    <t>No of 
Service</t>
  </si>
  <si>
    <t>VAToilet Number: 4070272101 | Vendor No: 101776</t>
  </si>
  <si>
    <t>AccounToilet Number: 1323687157</t>
  </si>
  <si>
    <t>Service Notes - Pump &amp; Clean</t>
  </si>
  <si>
    <t>No of Toilets</t>
  </si>
  <si>
    <t>Informal Settlement Area</t>
  </si>
  <si>
    <t>Monday &amp; Thursday</t>
  </si>
  <si>
    <t>Weekly Cleaning Dates</t>
  </si>
  <si>
    <t>Service Provider Official:</t>
  </si>
  <si>
    <t>Signature</t>
  </si>
  <si>
    <t>Greenfield Ext 14 (Lefika Camp)</t>
  </si>
  <si>
    <t>Weekly Cleaning Schedule</t>
  </si>
  <si>
    <t>Greenfields Ext 10 (Lefika camp)</t>
  </si>
  <si>
    <t>Qty (Units)</t>
  </si>
  <si>
    <t>VAT  Number: 4000142267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</si>
</sst>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&quot;* #,##0.00_-;\-&quot;R&quot;* #,##0.00_-;_-&quot;R&quot;* &quot;-&quot;??_-;_-@_-"/>
    <numFmt numFmtId="164" formatCode="[$R-1C09]#,##0.00"/>
    <numFmt numFmtId="165" formatCode="_-[$R-1C09]* #,##0.00_-;\-[$R-1C09]* #,##0.00_-;_-[$R-1C09]* &quot;-&quot;??_-;_-@_-"/>
    <numFmt numFmtId="166" formatCode="[$-1C09]dd/mmmm/yyyy;@"/>
    <numFmt numFmtId="167" formatCode="[$-1C09]dd\ mmmm\ yyyy;@"/>
  </numFmts>
  <fonts count="4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7F8C8D"/>
      <name val="Arial"/>
      <family val="2"/>
    </font>
    <font>
      <sz val="8"/>
      <name val="Calibri"/>
      <family val="2"/>
      <scheme val="minor"/>
    </font>
    <font>
      <sz val="9"/>
      <color rgb="FF1C2833"/>
      <name val="Arial"/>
      <family val="2"/>
    </font>
    <font>
      <sz val="8"/>
      <color rgb="FF008000"/>
      <name val="Arial"/>
      <family val="2"/>
    </font>
    <font>
      <sz val="8"/>
      <color rgb="FF000000"/>
      <name val="Arial"/>
      <family val="2"/>
    </font>
    <font>
      <sz val="9"/>
      <color rgb="FF1A5276"/>
      <name val="Arial"/>
      <family val="2"/>
    </font>
    <font>
      <sz val="9"/>
      <color rgb="FF008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8"/>
      <color rgb="FF7F8C8D"/>
      <name val="Arial"/>
      <family val="2"/>
    </font>
    <font>
      <b/>
      <sz val="10"/>
      <color rgb="FFFFFFFF"/>
      <name val="Arial"/>
      <family val="2"/>
    </font>
    <font>
      <b/>
      <sz val="10"/>
      <color theme="0"/>
      <name val="Calibri"/>
      <family val="2"/>
      <scheme val="minor"/>
    </font>
    <font>
      <b/>
      <sz val="8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rgb="FF000000"/>
      <name val="Arial"/>
      <family val="2"/>
    </font>
    <font>
      <b/>
      <sz val="18"/>
      <color theme="0"/>
      <name val="Arial"/>
      <family val="2"/>
    </font>
    <font>
      <b/>
      <sz val="8"/>
      <color theme="1" tint="0.249977111117893"/>
      <name val="Arial"/>
      <family val="2"/>
    </font>
    <font>
      <b/>
      <sz val="15"/>
      <color rgb="FFFFFFFF"/>
      <name val="Arial"/>
      <family val="2"/>
    </font>
    <font>
      <b/>
      <sz val="10"/>
      <color rgb="FFE8820C"/>
      <name val="Arial"/>
      <family val="2"/>
    </font>
    <font>
      <sz val="9"/>
      <color theme="0" tint="-0.499984740745262"/>
      <name val="Arial"/>
      <family val="2"/>
    </font>
    <font>
      <b/>
      <sz val="8"/>
      <color rgb="FF7F8C8D"/>
      <name val="Arial"/>
      <family val="2"/>
    </font>
    <font>
      <i/>
      <sz val="10"/>
      <color rgb="FF7F8C8D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5"/>
      <color rgb="FFFFFFFF"/>
      <name val="Arial"/>
      <family val="2"/>
    </font>
    <font>
      <b/>
      <sz val="9"/>
      <color theme="0" tint="-0.499984740745262"/>
      <name val="Arial"/>
      <family val="2"/>
    </font>
    <font>
      <b/>
      <sz val="15"/>
      <color rgb="FFFFFFFF"/>
      <name val="Aptos"/>
      <family val="2"/>
    </font>
    <font>
      <sz val="9"/>
      <color theme="0" tint="-0.499984740745262"/>
      <name val="Aptos"/>
      <family val="2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sz val="11"/>
      <color theme="1" tint="0.249977111117893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E8820C"/>
        <bgColor rgb="FFFF6600"/>
      </patternFill>
    </fill>
    <fill>
      <patternFill patternType="solid">
        <fgColor rgb="FFFFFFFF"/>
        <bgColor rgb="FFFFFDE7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1C2833"/>
      </patternFill>
    </fill>
    <fill>
      <patternFill patternType="solid">
        <fgColor theme="5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35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0" fontId="5" fillId="0" borderId="0" xfId="0" applyFont="1"/>
    <xf numFmtId="165" fontId="0" fillId="0" borderId="0" xfId="0" applyNumberFormat="1"/>
    <xf numFmtId="164" fontId="0" fillId="0" borderId="0" xfId="0" applyNumberFormat="1"/>
    <xf numFmtId="0" fontId="5" fillId="0" borderId="0" xfId="0" applyFont="1" applyAlignment="1">
      <alignment horizontal="left"/>
    </xf>
    <xf numFmtId="0" fontId="0" fillId="0" borderId="0" xfId="0" quotePrefix="1"/>
    <xf numFmtId="0" fontId="0" fillId="2" borderId="0" xfId="0" applyFill="1"/>
    <xf numFmtId="0" fontId="9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44" fontId="1" fillId="0" borderId="0" xfId="0" applyNumberFormat="1" applyFont="1"/>
    <xf numFmtId="0" fontId="19" fillId="0" borderId="0" xfId="0" applyFont="1"/>
    <xf numFmtId="0" fontId="20" fillId="0" borderId="0" xfId="0" applyFont="1" applyAlignment="1">
      <alignment vertical="center"/>
    </xf>
    <xf numFmtId="0" fontId="19" fillId="0" borderId="1" xfId="0" applyFont="1" applyBorder="1"/>
    <xf numFmtId="0" fontId="26" fillId="0" borderId="0" xfId="0" applyFont="1"/>
    <xf numFmtId="0" fontId="28" fillId="0" borderId="0" xfId="0" applyFont="1" applyAlignment="1">
      <alignment vertical="center"/>
    </xf>
    <xf numFmtId="0" fontId="24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166" fontId="24" fillId="0" borderId="0" xfId="0" applyNumberFormat="1" applyFont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vertical="center"/>
    </xf>
    <xf numFmtId="0" fontId="19" fillId="0" borderId="0" xfId="0" applyFont="1" applyAlignment="1">
      <alignment vertical="top"/>
    </xf>
    <xf numFmtId="0" fontId="25" fillId="4" borderId="0" xfId="0" applyFont="1" applyFill="1"/>
    <xf numFmtId="0" fontId="7" fillId="4" borderId="0" xfId="0" applyFont="1" applyFill="1"/>
    <xf numFmtId="1" fontId="7" fillId="4" borderId="5" xfId="0" applyNumberFormat="1" applyFont="1" applyFill="1" applyBorder="1"/>
    <xf numFmtId="0" fontId="7" fillId="4" borderId="5" xfId="0" applyFont="1" applyFill="1" applyBorder="1"/>
    <xf numFmtId="44" fontId="7" fillId="4" borderId="5" xfId="1" applyFont="1" applyFill="1" applyBorder="1"/>
    <xf numFmtId="44" fontId="7" fillId="4" borderId="5" xfId="0" applyNumberFormat="1" applyFont="1" applyFill="1" applyBorder="1"/>
    <xf numFmtId="44" fontId="27" fillId="6" borderId="5" xfId="0" applyNumberFormat="1" applyFont="1" applyFill="1" applyBorder="1"/>
    <xf numFmtId="165" fontId="24" fillId="0" borderId="0" xfId="0" applyNumberFormat="1" applyFont="1" applyAlignment="1">
      <alignment horizontal="right" vertical="center"/>
    </xf>
    <xf numFmtId="44" fontId="0" fillId="0" borderId="0" xfId="0" applyNumberFormat="1"/>
    <xf numFmtId="0" fontId="3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" fontId="0" fillId="0" borderId="0" xfId="0" applyNumberFormat="1" applyAlignment="1">
      <alignment horizontal="center"/>
    </xf>
    <xf numFmtId="0" fontId="36" fillId="0" borderId="0" xfId="0" applyFont="1"/>
    <xf numFmtId="0" fontId="37" fillId="0" borderId="0" xfId="0" applyFont="1"/>
    <xf numFmtId="0" fontId="36" fillId="0" borderId="0" xfId="0" applyFont="1" applyAlignment="1">
      <alignment horizontal="left"/>
    </xf>
    <xf numFmtId="0" fontId="0" fillId="0" borderId="0" xfId="0" applyAlignment="1">
      <alignment horizontal="right"/>
    </xf>
    <xf numFmtId="0" fontId="34" fillId="0" borderId="0" xfId="0" applyFont="1" applyAlignment="1">
      <alignment vertical="center"/>
    </xf>
    <xf numFmtId="166" fontId="35" fillId="0" borderId="0" xfId="0" applyNumberFormat="1" applyFont="1"/>
    <xf numFmtId="166" fontId="0" fillId="0" borderId="0" xfId="0" applyNumberFormat="1" applyAlignment="1">
      <alignment horizontal="center" vertical="center"/>
    </xf>
    <xf numFmtId="0" fontId="27" fillId="0" borderId="5" xfId="0" applyFont="1" applyBorder="1"/>
    <xf numFmtId="0" fontId="22" fillId="4" borderId="10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1" fontId="15" fillId="0" borderId="8" xfId="0" applyNumberFormat="1" applyFont="1" applyBorder="1" applyAlignment="1">
      <alignment horizontal="center" vertical="center"/>
    </xf>
    <xf numFmtId="1" fontId="16" fillId="0" borderId="8" xfId="0" applyNumberFormat="1" applyFont="1" applyBorder="1" applyAlignment="1">
      <alignment horizontal="center" vertical="center"/>
    </xf>
    <xf numFmtId="44" fontId="17" fillId="0" borderId="8" xfId="1" applyFont="1" applyFill="1" applyBorder="1" applyAlignment="1">
      <alignment horizontal="right" vertical="center"/>
    </xf>
    <xf numFmtId="44" fontId="18" fillId="0" borderId="8" xfId="1" applyFont="1" applyFill="1" applyBorder="1" applyAlignment="1">
      <alignment horizontal="right" vertical="center"/>
    </xf>
    <xf numFmtId="0" fontId="15" fillId="0" borderId="8" xfId="0" applyFont="1" applyBorder="1" applyAlignment="1">
      <alignment horizontal="left" vertical="center"/>
    </xf>
    <xf numFmtId="4" fontId="17" fillId="0" borderId="8" xfId="0" applyNumberFormat="1" applyFont="1" applyBorder="1" applyAlignment="1">
      <alignment horizontal="right" vertical="center"/>
    </xf>
    <xf numFmtId="1" fontId="15" fillId="0" borderId="8" xfId="1" applyNumberFormat="1" applyFont="1" applyBorder="1" applyAlignment="1">
      <alignment horizontal="center" vertical="center"/>
    </xf>
    <xf numFmtId="0" fontId="15" fillId="3" borderId="8" xfId="0" applyFont="1" applyFill="1" applyBorder="1" applyAlignment="1">
      <alignment horizontal="left" vertical="center"/>
    </xf>
    <xf numFmtId="1" fontId="15" fillId="3" borderId="8" xfId="0" applyNumberFormat="1" applyFont="1" applyFill="1" applyBorder="1" applyAlignment="1">
      <alignment horizontal="center" vertical="center"/>
    </xf>
    <xf numFmtId="1" fontId="16" fillId="3" borderId="8" xfId="0" applyNumberFormat="1" applyFont="1" applyFill="1" applyBorder="1" applyAlignment="1">
      <alignment horizontal="center" vertical="center"/>
    </xf>
    <xf numFmtId="4" fontId="17" fillId="3" borderId="8" xfId="0" applyNumberFormat="1" applyFont="1" applyFill="1" applyBorder="1" applyAlignment="1">
      <alignment horizontal="right" vertical="center"/>
    </xf>
    <xf numFmtId="4" fontId="18" fillId="3" borderId="8" xfId="0" applyNumberFormat="1" applyFont="1" applyFill="1" applyBorder="1" applyAlignment="1">
      <alignment horizontal="right" vertical="center"/>
    </xf>
    <xf numFmtId="1" fontId="0" fillId="0" borderId="14" xfId="0" applyNumberFormat="1" applyBorder="1" applyAlignment="1">
      <alignment horizontal="center"/>
    </xf>
    <xf numFmtId="167" fontId="0" fillId="0" borderId="8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16" fontId="1" fillId="0" borderId="18" xfId="0" applyNumberFormat="1" applyFont="1" applyBorder="1" applyAlignment="1">
      <alignment horizontal="center" vertical="center"/>
    </xf>
    <xf numFmtId="16" fontId="1" fillId="0" borderId="13" xfId="0" applyNumberFormat="1" applyFont="1" applyBorder="1" applyAlignment="1">
      <alignment horizontal="center" vertical="center" wrapText="1"/>
    </xf>
    <xf numFmtId="0" fontId="39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" fontId="0" fillId="0" borderId="19" xfId="0" applyNumberFormat="1" applyBorder="1" applyAlignment="1">
      <alignment horizontal="center" vertical="center"/>
    </xf>
    <xf numFmtId="0" fontId="0" fillId="0" borderId="19" xfId="0" applyBorder="1"/>
    <xf numFmtId="0" fontId="0" fillId="0" borderId="19" xfId="0" applyBorder="1" applyAlignment="1">
      <alignment horizontal="center"/>
    </xf>
    <xf numFmtId="166" fontId="19" fillId="0" borderId="0" xfId="0" applyNumberFormat="1" applyFont="1" applyAlignment="1">
      <alignment horizontal="left"/>
    </xf>
    <xf numFmtId="166" fontId="19" fillId="0" borderId="1" xfId="0" applyNumberFormat="1" applyFont="1" applyBorder="1" applyAlignment="1">
      <alignment horizontal="left"/>
    </xf>
    <xf numFmtId="0" fontId="41" fillId="6" borderId="0" xfId="0" applyFont="1" applyFill="1" applyAlignment="1">
      <alignment vertical="center"/>
    </xf>
    <xf numFmtId="0" fontId="41" fillId="6" borderId="0" xfId="0" applyFont="1" applyFill="1" applyAlignment="1">
      <alignment horizontal="left" vertical="center"/>
    </xf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43" fillId="0" borderId="0" xfId="0" applyFont="1" applyAlignment="1">
      <alignment horizontal="left" vertical="center"/>
    </xf>
    <xf numFmtId="0" fontId="43" fillId="0" borderId="0" xfId="0" applyFont="1" applyAlignment="1">
      <alignment horizontal="left"/>
    </xf>
    <xf numFmtId="0" fontId="44" fillId="0" borderId="0" xfId="0" applyFont="1" applyAlignment="1">
      <alignment horizontal="left" vertical="center"/>
    </xf>
    <xf numFmtId="1" fontId="43" fillId="0" borderId="0" xfId="0" applyNumberFormat="1" applyFont="1" applyAlignment="1">
      <alignment horizontal="left"/>
    </xf>
    <xf numFmtId="166" fontId="35" fillId="0" borderId="0" xfId="0" applyNumberFormat="1" applyFont="1" applyAlignment="1">
      <alignment horizontal="left"/>
    </xf>
    <xf numFmtId="1" fontId="0" fillId="0" borderId="12" xfId="0" applyNumberFormat="1" applyBorder="1" applyAlignment="1">
      <alignment horizontal="center"/>
    </xf>
    <xf numFmtId="0" fontId="1" fillId="0" borderId="21" xfId="0" applyFont="1" applyBorder="1" applyAlignment="1">
      <alignment horizontal="center" vertical="center" wrapText="1"/>
    </xf>
    <xf numFmtId="1" fontId="0" fillId="0" borderId="25" xfId="0" applyNumberFormat="1" applyBorder="1" applyAlignment="1">
      <alignment horizontal="center"/>
    </xf>
    <xf numFmtId="167" fontId="0" fillId="0" borderId="25" xfId="0" applyNumberFormat="1" applyBorder="1" applyAlignment="1">
      <alignment horizontal="center" vertic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0" fillId="0" borderId="28" xfId="0" applyNumberFormat="1" applyBorder="1" applyAlignment="1">
      <alignment horizontal="center"/>
    </xf>
    <xf numFmtId="0" fontId="31" fillId="5" borderId="0" xfId="0" applyFont="1" applyFill="1" applyAlignment="1">
      <alignment vertical="center"/>
    </xf>
    <xf numFmtId="0" fontId="38" fillId="5" borderId="0" xfId="0" applyFont="1" applyFill="1" applyAlignment="1">
      <alignment horizontal="right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19" fillId="0" borderId="1" xfId="0" applyFont="1" applyBorder="1"/>
    <xf numFmtId="0" fontId="0" fillId="0" borderId="15" xfId="0" applyBorder="1"/>
    <xf numFmtId="0" fontId="0" fillId="0" borderId="8" xfId="0" applyBorder="1"/>
    <xf numFmtId="166" fontId="35" fillId="0" borderId="0" xfId="0" applyNumberFormat="1" applyFont="1" applyAlignment="1">
      <alignment horizontal="left"/>
    </xf>
    <xf numFmtId="0" fontId="0" fillId="0" borderId="16" xfId="0" applyBorder="1"/>
    <xf numFmtId="0" fontId="0" fillId="0" borderId="17" xfId="0" applyBorder="1"/>
    <xf numFmtId="166" fontId="35" fillId="0" borderId="1" xfId="0" applyNumberFormat="1" applyFont="1" applyBorder="1" applyAlignment="1">
      <alignment horizontal="left"/>
    </xf>
    <xf numFmtId="0" fontId="35" fillId="0" borderId="1" xfId="0" applyFont="1" applyBorder="1" applyAlignment="1">
      <alignment horizontal="left"/>
    </xf>
    <xf numFmtId="0" fontId="10" fillId="0" borderId="1" xfId="0" applyFont="1" applyBorder="1"/>
    <xf numFmtId="166" fontId="19" fillId="0" borderId="1" xfId="0" applyNumberFormat="1" applyFont="1" applyBorder="1"/>
    <xf numFmtId="0" fontId="10" fillId="0" borderId="0" xfId="0" applyFont="1" applyAlignment="1">
      <alignment horizontal="left" vertical="center"/>
    </xf>
    <xf numFmtId="0" fontId="20" fillId="5" borderId="0" xfId="0" applyFont="1" applyFill="1" applyAlignment="1">
      <alignment vertical="center"/>
    </xf>
    <xf numFmtId="0" fontId="32" fillId="0" borderId="0" xfId="0" applyFont="1" applyAlignment="1">
      <alignment horizontal="left" vertical="center"/>
    </xf>
    <xf numFmtId="0" fontId="23" fillId="0" borderId="0" xfId="0" applyFont="1" applyAlignment="1">
      <alignment horizontal="right" vertical="center"/>
    </xf>
    <xf numFmtId="0" fontId="33" fillId="0" borderId="0" xfId="0" applyFont="1" applyAlignment="1">
      <alignment horizontal="left" vertical="center"/>
    </xf>
    <xf numFmtId="0" fontId="33" fillId="0" borderId="0" xfId="0" quotePrefix="1" applyFont="1" applyAlignment="1">
      <alignment horizontal="left" vertical="center"/>
    </xf>
    <xf numFmtId="0" fontId="21" fillId="4" borderId="3" xfId="0" applyFont="1" applyFill="1" applyBorder="1" applyAlignment="1">
      <alignment horizontal="center"/>
    </xf>
    <xf numFmtId="0" fontId="22" fillId="4" borderId="2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0" fontId="22" fillId="4" borderId="10" xfId="0" applyFont="1" applyFill="1" applyBorder="1" applyAlignment="1">
      <alignment horizontal="center" vertical="center" wrapText="1"/>
    </xf>
    <xf numFmtId="0" fontId="0" fillId="0" borderId="0" xfId="0"/>
    <xf numFmtId="0" fontId="27" fillId="6" borderId="6" xfId="0" applyFont="1" applyFill="1" applyBorder="1"/>
    <xf numFmtId="0" fontId="27" fillId="6" borderId="7" xfId="0" applyFont="1" applyFill="1" applyBorder="1"/>
    <xf numFmtId="0" fontId="22" fillId="4" borderId="4" xfId="0" applyFont="1" applyFill="1" applyBorder="1" applyAlignment="1">
      <alignment horizontal="right" vertical="center" wrapText="1"/>
    </xf>
    <xf numFmtId="0" fontId="22" fillId="4" borderId="11" xfId="0" applyFont="1" applyFill="1" applyBorder="1" applyAlignment="1">
      <alignment horizontal="right" vertical="center" wrapText="1"/>
    </xf>
    <xf numFmtId="0" fontId="29" fillId="5" borderId="0" xfId="0" applyFont="1" applyFill="1" applyAlignment="1">
      <alignment horizontal="right" vertical="center"/>
    </xf>
    <xf numFmtId="0" fontId="4" fillId="0" borderId="0" xfId="0" applyFont="1"/>
    <xf numFmtId="0" fontId="8" fillId="5" borderId="0" xfId="0" applyFont="1" applyFill="1" applyAlignment="1">
      <alignment vertical="center"/>
    </xf>
    <xf numFmtId="0" fontId="0" fillId="0" borderId="22" xfId="0" applyBorder="1"/>
    <xf numFmtId="0" fontId="0" fillId="0" borderId="23" xfId="0" applyBorder="1"/>
    <xf numFmtId="0" fontId="39" fillId="0" borderId="22" xfId="0" applyFont="1" applyBorder="1" applyAlignment="1">
      <alignment vertical="center"/>
    </xf>
    <xf numFmtId="0" fontId="39" fillId="0" borderId="23" xfId="0" applyFont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19" fillId="0" borderId="0" xfId="0" applyFont="1"/>
    <xf numFmtId="0" fontId="19" fillId="0" borderId="0" xfId="0" applyFont="1" applyAlignment="1">
      <alignment vertical="top"/>
    </xf>
    <xf numFmtId="0" fontId="40" fillId="5" borderId="0" xfId="0" applyFont="1" applyFill="1" applyAlignment="1">
      <alignment vertical="center"/>
    </xf>
    <xf numFmtId="0" fontId="40" fillId="5" borderId="0" xfId="0" applyFont="1" applyFill="1" applyAlignment="1">
      <alignment horizontal="right" vertical="center"/>
    </xf>
    <xf numFmtId="166" fontId="19" fillId="0" borderId="1" xfId="0" applyNumberFormat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44</xdr:row>
      <xdr:rowOff>137160</xdr:rowOff>
    </xdr:from>
    <xdr:to>
      <xdr:col>1</xdr:col>
      <xdr:colOff>1709432</xdr:colOff>
      <xdr:row>48</xdr:row>
      <xdr:rowOff>24185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BC1BB-51AC-4114-9B34-DA68B4501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221980"/>
          <a:ext cx="1869452" cy="6185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22</xdr:row>
      <xdr:rowOff>106680</xdr:rowOff>
    </xdr:from>
    <xdr:to>
      <xdr:col>1</xdr:col>
      <xdr:colOff>914400</xdr:colOff>
      <xdr:row>25</xdr:row>
      <xdr:rowOff>62285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B09620-A93C-4F81-971C-5BE4C02E6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4236720"/>
          <a:ext cx="1524000" cy="50424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FEBE-B068-4D93-9E2E-95BF730E8517}">
  <sheetPr>
    <pageSetUpPr fitToPage="1"/>
  </sheetPr>
  <dimension ref="A1:J52"/>
  <sheetViews>
    <sheetView showGridLines="0" view="pageBreakPreview" topLeftCell="A4" zoomScaleNormal="100" zoomScaleSheetLayoutView="100" workbookViewId="0">
      <selection activeCell="C18" sqref="C18"/>
    </sheetView>
  </sheetViews>
  <sheetFormatPr defaultRowHeight="14.4" x14ac:dyDescent="0.3"/>
  <cols>
    <col min="1" max="1" width="2.33203125" bestFit="1" customWidth="1"/>
    <col min="2" max="2" width="27.88671875" bestFit="1" customWidth="1"/>
    <col min="3" max="4" width="7.6640625" customWidth="1"/>
    <col min="5" max="5" width="14.33203125" customWidth="1"/>
    <col min="6" max="6" width="6.6640625" bestFit="1" customWidth="1"/>
    <col min="7" max="7" width="17.33203125" bestFit="1" customWidth="1"/>
    <col min="8" max="8" width="23.33203125" bestFit="1" customWidth="1"/>
    <col min="9" max="9" width="12.44140625" bestFit="1" customWidth="1"/>
    <col min="10" max="12" width="10.6640625" customWidth="1"/>
  </cols>
  <sheetData>
    <row r="1" spans="1:8" ht="22.8" x14ac:dyDescent="0.3">
      <c r="A1" s="89" t="s">
        <v>35</v>
      </c>
      <c r="B1" s="123"/>
      <c r="C1" s="123"/>
      <c r="D1" s="123"/>
      <c r="E1" s="123"/>
      <c r="F1" s="123"/>
      <c r="G1" s="121" t="s">
        <v>45</v>
      </c>
      <c r="H1" s="121"/>
    </row>
    <row r="2" spans="1:8" ht="1.95" customHeight="1" x14ac:dyDescent="0.3">
      <c r="A2" s="10"/>
      <c r="B2" s="10"/>
      <c r="C2" s="10"/>
      <c r="D2" s="10"/>
      <c r="E2" s="10"/>
      <c r="F2" s="10"/>
      <c r="G2" s="10"/>
      <c r="H2" s="10"/>
    </row>
    <row r="3" spans="1:8" x14ac:dyDescent="0.3">
      <c r="A3" s="105" t="s">
        <v>2</v>
      </c>
      <c r="B3" s="105"/>
      <c r="C3" s="105"/>
      <c r="D3" s="105"/>
      <c r="E3" s="108" t="s">
        <v>5</v>
      </c>
      <c r="F3" s="108"/>
      <c r="G3" s="108"/>
      <c r="H3" s="19" t="s">
        <v>117</v>
      </c>
    </row>
    <row r="4" spans="1:8" x14ac:dyDescent="0.3">
      <c r="A4" s="105" t="s">
        <v>38</v>
      </c>
      <c r="B4" s="105"/>
      <c r="C4" s="105"/>
      <c r="D4" s="105"/>
      <c r="E4" s="108" t="s">
        <v>3</v>
      </c>
      <c r="F4" s="108"/>
      <c r="G4" s="108"/>
      <c r="H4" s="21">
        <v>46107</v>
      </c>
    </row>
    <row r="5" spans="1:8" x14ac:dyDescent="0.3">
      <c r="A5" s="105" t="s">
        <v>136</v>
      </c>
      <c r="B5" s="105"/>
      <c r="C5" s="105"/>
      <c r="D5" s="105"/>
      <c r="E5" s="108" t="s">
        <v>4</v>
      </c>
      <c r="F5" s="108"/>
      <c r="G5" s="108"/>
      <c r="H5" s="40" t="s">
        <v>129</v>
      </c>
    </row>
    <row r="6" spans="1:8" x14ac:dyDescent="0.3">
      <c r="A6" s="105" t="s">
        <v>34</v>
      </c>
      <c r="B6" s="105"/>
      <c r="C6" s="105"/>
      <c r="D6" s="105"/>
      <c r="E6" s="108" t="s">
        <v>7</v>
      </c>
      <c r="F6" s="108"/>
      <c r="G6" s="108"/>
      <c r="H6" s="19" t="s">
        <v>8</v>
      </c>
    </row>
    <row r="7" spans="1:8" x14ac:dyDescent="0.3">
      <c r="A7" s="105" t="s">
        <v>123</v>
      </c>
      <c r="B7" s="105"/>
      <c r="C7" s="105"/>
      <c r="D7" s="105"/>
      <c r="E7" s="108"/>
      <c r="F7" s="108"/>
      <c r="G7" s="108"/>
      <c r="H7" s="19"/>
    </row>
    <row r="8" spans="1:8" x14ac:dyDescent="0.3">
      <c r="A8" s="105"/>
      <c r="B8" s="105"/>
      <c r="C8" s="105"/>
      <c r="D8" s="105"/>
      <c r="E8" s="108"/>
      <c r="F8" s="108"/>
      <c r="G8" s="108"/>
      <c r="H8" s="19"/>
    </row>
    <row r="9" spans="1:8" x14ac:dyDescent="0.3">
      <c r="A9" s="5"/>
      <c r="B9" s="8"/>
      <c r="C9" s="2"/>
      <c r="D9" s="2"/>
      <c r="E9" s="122"/>
      <c r="F9" s="122"/>
      <c r="G9" s="122"/>
      <c r="H9" s="20"/>
    </row>
    <row r="10" spans="1:8" x14ac:dyDescent="0.3">
      <c r="A10" s="107" t="s">
        <v>6</v>
      </c>
      <c r="B10" s="107"/>
      <c r="C10" s="107"/>
      <c r="D10" s="107"/>
      <c r="E10" s="108"/>
      <c r="F10" s="108"/>
      <c r="G10" s="108"/>
      <c r="H10" s="20"/>
    </row>
    <row r="11" spans="1:8" x14ac:dyDescent="0.3">
      <c r="A11" s="109" t="s">
        <v>124</v>
      </c>
      <c r="B11" s="109"/>
      <c r="C11" s="109"/>
      <c r="D11" s="109"/>
      <c r="E11" s="108"/>
      <c r="F11" s="108"/>
      <c r="G11" s="108"/>
      <c r="H11" s="19"/>
    </row>
    <row r="12" spans="1:8" x14ac:dyDescent="0.3">
      <c r="A12" s="109" t="s">
        <v>125</v>
      </c>
      <c r="B12" s="109"/>
      <c r="C12" s="109"/>
      <c r="D12" s="109"/>
      <c r="E12" s="108"/>
      <c r="F12" s="108"/>
      <c r="G12" s="108"/>
      <c r="H12" s="19"/>
    </row>
    <row r="13" spans="1:8" x14ac:dyDescent="0.3">
      <c r="A13" s="109" t="s">
        <v>126</v>
      </c>
      <c r="B13" s="109"/>
      <c r="C13" s="109"/>
      <c r="D13" s="109"/>
      <c r="E13" s="108"/>
      <c r="F13" s="108"/>
      <c r="G13" s="108"/>
      <c r="H13" s="32"/>
    </row>
    <row r="14" spans="1:8" x14ac:dyDescent="0.3">
      <c r="A14" s="110" t="s">
        <v>127</v>
      </c>
      <c r="B14" s="109"/>
      <c r="C14" s="109"/>
      <c r="D14" s="109"/>
      <c r="E14" s="108"/>
      <c r="F14" s="108"/>
      <c r="G14" s="108"/>
      <c r="H14" s="32"/>
    </row>
    <row r="15" spans="1:8" x14ac:dyDescent="0.3">
      <c r="A15" s="116"/>
      <c r="B15" s="116"/>
      <c r="C15" s="116"/>
      <c r="D15" s="116"/>
      <c r="E15" s="108"/>
      <c r="F15" s="108"/>
      <c r="G15" s="108"/>
      <c r="H15" s="19"/>
    </row>
    <row r="16" spans="1:8" x14ac:dyDescent="0.3">
      <c r="A16" s="109" t="s">
        <v>149</v>
      </c>
      <c r="B16" s="109"/>
      <c r="C16" s="109"/>
      <c r="D16" s="109"/>
      <c r="E16" s="2"/>
      <c r="F16" s="2"/>
      <c r="G16" s="11"/>
      <c r="H16" s="12"/>
    </row>
    <row r="17" spans="1:10" x14ac:dyDescent="0.3">
      <c r="A17" s="109" t="s">
        <v>128</v>
      </c>
      <c r="B17" s="109"/>
      <c r="C17" s="109"/>
      <c r="D17" s="109"/>
      <c r="E17" s="2"/>
      <c r="F17" s="2"/>
      <c r="G17" s="11"/>
      <c r="H17" s="12"/>
    </row>
    <row r="18" spans="1:10" x14ac:dyDescent="0.3">
      <c r="E18" s="2"/>
      <c r="F18" s="2"/>
      <c r="G18" s="11"/>
      <c r="H18" s="12"/>
    </row>
    <row r="19" spans="1:10" x14ac:dyDescent="0.3">
      <c r="A19" s="112" t="s">
        <v>9</v>
      </c>
      <c r="B19" s="114" t="s">
        <v>28</v>
      </c>
      <c r="C19" s="111" t="s">
        <v>39</v>
      </c>
      <c r="D19" s="111"/>
      <c r="E19" s="111"/>
      <c r="F19" s="111" t="s">
        <v>26</v>
      </c>
      <c r="G19" s="111"/>
      <c r="H19" s="119" t="s">
        <v>27</v>
      </c>
    </row>
    <row r="20" spans="1:10" ht="30.6" x14ac:dyDescent="0.3">
      <c r="A20" s="113"/>
      <c r="B20" s="115" t="s">
        <v>28</v>
      </c>
      <c r="C20" s="45" t="s">
        <v>10</v>
      </c>
      <c r="D20" s="45" t="s">
        <v>11</v>
      </c>
      <c r="E20" s="45" t="s">
        <v>118</v>
      </c>
      <c r="F20" s="45" t="s">
        <v>12</v>
      </c>
      <c r="G20" s="45" t="s">
        <v>119</v>
      </c>
      <c r="H20" s="120"/>
    </row>
    <row r="21" spans="1:10" x14ac:dyDescent="0.3">
      <c r="A21" s="46">
        <v>1</v>
      </c>
      <c r="B21" s="47" t="s">
        <v>120</v>
      </c>
      <c r="C21" s="48">
        <v>1</v>
      </c>
      <c r="D21" s="49">
        <v>23</v>
      </c>
      <c r="E21" s="50">
        <f>IF(C21="","",C21*D21*11.5)</f>
        <v>264.5</v>
      </c>
      <c r="F21" s="48">
        <f>'Service Notes'!J8</f>
        <v>5</v>
      </c>
      <c r="G21" s="50">
        <f>IF(C21="","",C21*F21*96.5)</f>
        <v>482.5</v>
      </c>
      <c r="H21" s="51">
        <f>IF(C21="","",E21+G21)</f>
        <v>747</v>
      </c>
      <c r="I21" s="33"/>
    </row>
    <row r="22" spans="1:10" x14ac:dyDescent="0.3">
      <c r="A22" s="46">
        <v>2</v>
      </c>
      <c r="B22" s="47" t="s">
        <v>120</v>
      </c>
      <c r="C22" s="48">
        <v>7</v>
      </c>
      <c r="D22" s="49">
        <v>24</v>
      </c>
      <c r="E22" s="50">
        <f t="shared" ref="E22:E35" si="0">IF(C22="","",C22*D22*11.5)</f>
        <v>1932</v>
      </c>
      <c r="F22" s="48">
        <f>'Service Notes'!J9</f>
        <v>5</v>
      </c>
      <c r="G22" s="50">
        <f t="shared" ref="G22:G35" si="1">IF(C22="","",C22*F22*96.5)</f>
        <v>3377.5</v>
      </c>
      <c r="H22" s="51">
        <f>IF(C22="","",E22+G22)</f>
        <v>5309.5</v>
      </c>
      <c r="I22" s="33"/>
    </row>
    <row r="23" spans="1:10" x14ac:dyDescent="0.3">
      <c r="A23" s="46">
        <v>3</v>
      </c>
      <c r="B23" s="47" t="s">
        <v>13</v>
      </c>
      <c r="C23" s="48">
        <v>11</v>
      </c>
      <c r="D23" s="49">
        <v>23</v>
      </c>
      <c r="E23" s="50">
        <f t="shared" si="0"/>
        <v>2909.5</v>
      </c>
      <c r="F23" s="48">
        <v>5</v>
      </c>
      <c r="G23" s="50">
        <f t="shared" si="1"/>
        <v>5307.5</v>
      </c>
      <c r="H23" s="51">
        <f t="shared" ref="H23:H36" si="2">IF(C23="","",E23+G23)</f>
        <v>8217</v>
      </c>
    </row>
    <row r="24" spans="1:10" x14ac:dyDescent="0.3">
      <c r="A24" s="46">
        <v>4</v>
      </c>
      <c r="B24" s="47" t="s">
        <v>14</v>
      </c>
      <c r="C24" s="48">
        <v>16</v>
      </c>
      <c r="D24" s="49">
        <v>25</v>
      </c>
      <c r="E24" s="50">
        <f t="shared" si="0"/>
        <v>4600</v>
      </c>
      <c r="F24" s="48">
        <f>'Service Notes'!J11</f>
        <v>6</v>
      </c>
      <c r="G24" s="50">
        <f t="shared" si="1"/>
        <v>9264</v>
      </c>
      <c r="H24" s="51">
        <f t="shared" si="2"/>
        <v>13864</v>
      </c>
    </row>
    <row r="25" spans="1:10" x14ac:dyDescent="0.3">
      <c r="A25" s="46">
        <v>5</v>
      </c>
      <c r="B25" s="47" t="s">
        <v>14</v>
      </c>
      <c r="C25" s="48">
        <v>14</v>
      </c>
      <c r="D25" s="49">
        <v>24</v>
      </c>
      <c r="E25" s="50">
        <f t="shared" si="0"/>
        <v>3864</v>
      </c>
      <c r="F25" s="48">
        <f>'Service Notes'!J12</f>
        <v>5</v>
      </c>
      <c r="G25" s="50">
        <f t="shared" si="1"/>
        <v>6755</v>
      </c>
      <c r="H25" s="51">
        <f t="shared" ref="H25" si="3">IF(C25="","",E25+G25)</f>
        <v>10619</v>
      </c>
    </row>
    <row r="26" spans="1:10" x14ac:dyDescent="0.3">
      <c r="A26" s="46">
        <v>6</v>
      </c>
      <c r="B26" s="47" t="s">
        <v>15</v>
      </c>
      <c r="C26" s="48">
        <v>160</v>
      </c>
      <c r="D26" s="49">
        <v>25</v>
      </c>
      <c r="E26" s="50">
        <f t="shared" si="0"/>
        <v>46000</v>
      </c>
      <c r="F26" s="48">
        <f>'Service Notes'!J13</f>
        <v>6</v>
      </c>
      <c r="G26" s="50">
        <f t="shared" si="1"/>
        <v>92640</v>
      </c>
      <c r="H26" s="51">
        <f t="shared" si="2"/>
        <v>138640</v>
      </c>
      <c r="J26" s="7"/>
    </row>
    <row r="27" spans="1:10" x14ac:dyDescent="0.3">
      <c r="A27" s="46">
        <v>7</v>
      </c>
      <c r="B27" s="47" t="s">
        <v>16</v>
      </c>
      <c r="C27" s="48">
        <v>50</v>
      </c>
      <c r="D27" s="49">
        <v>24</v>
      </c>
      <c r="E27" s="50">
        <f t="shared" si="0"/>
        <v>13800</v>
      </c>
      <c r="F27" s="48">
        <f>'Service Notes'!J14</f>
        <v>5</v>
      </c>
      <c r="G27" s="50">
        <f t="shared" si="1"/>
        <v>24125</v>
      </c>
      <c r="H27" s="51">
        <f t="shared" si="2"/>
        <v>37925</v>
      </c>
    </row>
    <row r="28" spans="1:10" x14ac:dyDescent="0.3">
      <c r="A28" s="46">
        <v>8</v>
      </c>
      <c r="B28" s="47" t="s">
        <v>17</v>
      </c>
      <c r="C28" s="48">
        <v>60</v>
      </c>
      <c r="D28" s="49">
        <v>25</v>
      </c>
      <c r="E28" s="50">
        <f t="shared" si="0"/>
        <v>17250</v>
      </c>
      <c r="F28" s="48">
        <f>'Service Notes'!J15</f>
        <v>6</v>
      </c>
      <c r="G28" s="50">
        <f t="shared" si="1"/>
        <v>34740</v>
      </c>
      <c r="H28" s="51">
        <f t="shared" si="2"/>
        <v>51990</v>
      </c>
    </row>
    <row r="29" spans="1:10" x14ac:dyDescent="0.3">
      <c r="A29" s="46">
        <v>9</v>
      </c>
      <c r="B29" s="47" t="s">
        <v>18</v>
      </c>
      <c r="C29" s="48">
        <v>10</v>
      </c>
      <c r="D29" s="49">
        <v>23</v>
      </c>
      <c r="E29" s="50">
        <f t="shared" si="0"/>
        <v>2645</v>
      </c>
      <c r="F29" s="48">
        <f>'Service Notes'!J16</f>
        <v>5</v>
      </c>
      <c r="G29" s="50">
        <f t="shared" si="1"/>
        <v>4825</v>
      </c>
      <c r="H29" s="51">
        <f t="shared" si="2"/>
        <v>7470</v>
      </c>
    </row>
    <row r="30" spans="1:10" x14ac:dyDescent="0.3">
      <c r="A30" s="46">
        <v>10</v>
      </c>
      <c r="B30" s="47" t="s">
        <v>19</v>
      </c>
      <c r="C30" s="48">
        <v>40</v>
      </c>
      <c r="D30" s="49">
        <v>25</v>
      </c>
      <c r="E30" s="50">
        <f t="shared" si="0"/>
        <v>11500</v>
      </c>
      <c r="F30" s="48">
        <f>'Service Notes'!J17</f>
        <v>6</v>
      </c>
      <c r="G30" s="50">
        <f t="shared" si="1"/>
        <v>23160</v>
      </c>
      <c r="H30" s="51">
        <f t="shared" si="2"/>
        <v>34660</v>
      </c>
    </row>
    <row r="31" spans="1:10" x14ac:dyDescent="0.3">
      <c r="A31" s="46">
        <v>11</v>
      </c>
      <c r="B31" s="47" t="s">
        <v>20</v>
      </c>
      <c r="C31" s="48">
        <v>3</v>
      </c>
      <c r="D31" s="49">
        <v>23</v>
      </c>
      <c r="E31" s="50">
        <f t="shared" si="0"/>
        <v>793.5</v>
      </c>
      <c r="F31" s="48">
        <f>'Service Notes'!J18</f>
        <v>5</v>
      </c>
      <c r="G31" s="50">
        <f t="shared" si="1"/>
        <v>1447.5</v>
      </c>
      <c r="H31" s="51">
        <f t="shared" si="2"/>
        <v>2241</v>
      </c>
      <c r="I31" s="6"/>
    </row>
    <row r="32" spans="1:10" x14ac:dyDescent="0.3">
      <c r="A32" s="46">
        <v>12</v>
      </c>
      <c r="B32" s="47" t="s">
        <v>21</v>
      </c>
      <c r="C32" s="48">
        <v>70</v>
      </c>
      <c r="D32" s="49">
        <v>24</v>
      </c>
      <c r="E32" s="50">
        <f t="shared" si="0"/>
        <v>19320</v>
      </c>
      <c r="F32" s="48">
        <f>'Service Notes'!J19</f>
        <v>5</v>
      </c>
      <c r="G32" s="50">
        <f t="shared" si="1"/>
        <v>33775</v>
      </c>
      <c r="H32" s="51">
        <f t="shared" si="2"/>
        <v>53095</v>
      </c>
    </row>
    <row r="33" spans="1:9" x14ac:dyDescent="0.3">
      <c r="A33" s="46">
        <v>13</v>
      </c>
      <c r="B33" s="47" t="s">
        <v>22</v>
      </c>
      <c r="C33" s="48">
        <v>80</v>
      </c>
      <c r="D33" s="49">
        <v>25</v>
      </c>
      <c r="E33" s="50">
        <f t="shared" si="0"/>
        <v>23000</v>
      </c>
      <c r="F33" s="48">
        <f>'Service Notes'!J20</f>
        <v>6</v>
      </c>
      <c r="G33" s="50">
        <f t="shared" si="1"/>
        <v>46320</v>
      </c>
      <c r="H33" s="51">
        <f t="shared" si="2"/>
        <v>69320</v>
      </c>
      <c r="I33" s="6"/>
    </row>
    <row r="34" spans="1:9" x14ac:dyDescent="0.3">
      <c r="A34" s="46">
        <v>14</v>
      </c>
      <c r="B34" s="47" t="s">
        <v>23</v>
      </c>
      <c r="C34" s="48">
        <v>59</v>
      </c>
      <c r="D34" s="49">
        <v>24</v>
      </c>
      <c r="E34" s="50">
        <f t="shared" si="0"/>
        <v>16284</v>
      </c>
      <c r="F34" s="48">
        <f>'Service Notes'!J21</f>
        <v>5</v>
      </c>
      <c r="G34" s="50">
        <f t="shared" si="1"/>
        <v>28467.5</v>
      </c>
      <c r="H34" s="51">
        <f t="shared" si="2"/>
        <v>44751.5</v>
      </c>
    </row>
    <row r="35" spans="1:9" x14ac:dyDescent="0.3">
      <c r="A35" s="46">
        <v>15</v>
      </c>
      <c r="B35" s="47" t="s">
        <v>145</v>
      </c>
      <c r="C35" s="48">
        <v>15</v>
      </c>
      <c r="D35" s="49">
        <v>23</v>
      </c>
      <c r="E35" s="50">
        <f t="shared" si="0"/>
        <v>3967.5</v>
      </c>
      <c r="F35" s="48">
        <f>'Service Notes'!J22</f>
        <v>5</v>
      </c>
      <c r="G35" s="50">
        <f t="shared" si="1"/>
        <v>7237.5</v>
      </c>
      <c r="H35" s="51">
        <f t="shared" si="2"/>
        <v>11205</v>
      </c>
    </row>
    <row r="36" spans="1:9" x14ac:dyDescent="0.3">
      <c r="A36" s="46"/>
      <c r="B36" s="52"/>
      <c r="C36" s="48"/>
      <c r="D36" s="49" t="str">
        <f>IF(C36="","",$H$13)</f>
        <v/>
      </c>
      <c r="E36" s="53" t="str">
        <f>IF(C36="","",C36*$H$13*$H$14)</f>
        <v/>
      </c>
      <c r="F36" s="54"/>
      <c r="G36" s="53" t="str">
        <f>IF(C36="","",C36*F36*$H$15)</f>
        <v/>
      </c>
      <c r="H36" s="51" t="str">
        <f t="shared" si="2"/>
        <v/>
      </c>
    </row>
    <row r="37" spans="1:9" x14ac:dyDescent="0.3">
      <c r="A37" s="46"/>
      <c r="B37" s="55"/>
      <c r="C37" s="56"/>
      <c r="D37" s="57" t="str">
        <f>IF(C37="","",$H$13)</f>
        <v/>
      </c>
      <c r="E37" s="58" t="str">
        <f>IF(C37="","",C37*$H$13*$H$14)</f>
        <v/>
      </c>
      <c r="F37" s="56"/>
      <c r="G37" s="58" t="str">
        <f>IF(C37="","",C37*F37*$H$15)</f>
        <v/>
      </c>
      <c r="H37" s="59"/>
    </row>
    <row r="38" spans="1:9" x14ac:dyDescent="0.3">
      <c r="A38" s="1"/>
      <c r="B38" s="9"/>
      <c r="C38" s="9"/>
      <c r="D38" s="9"/>
      <c r="E38" s="3"/>
      <c r="F38" s="3"/>
      <c r="G38" s="4"/>
    </row>
    <row r="39" spans="1:9" x14ac:dyDescent="0.3">
      <c r="A39" s="25"/>
      <c r="B39" s="26" t="s">
        <v>36</v>
      </c>
      <c r="C39" s="27">
        <f>SUM(C21:C37)</f>
        <v>596</v>
      </c>
      <c r="D39" s="28"/>
      <c r="E39" s="29">
        <f>SUM(E21:E37)</f>
        <v>168130</v>
      </c>
      <c r="F39" s="28"/>
      <c r="G39" s="29">
        <f>SUM(G21:G37)</f>
        <v>321924</v>
      </c>
      <c r="H39" s="30">
        <f>SUM(E39,G39)</f>
        <v>490054</v>
      </c>
      <c r="I39" s="33">
        <f>SUM(H21:H35)</f>
        <v>490054</v>
      </c>
    </row>
    <row r="40" spans="1:9" x14ac:dyDescent="0.3">
      <c r="A40" s="1"/>
      <c r="B40" s="9"/>
      <c r="C40" s="9"/>
      <c r="D40" s="9"/>
      <c r="G40" s="3" t="s">
        <v>25</v>
      </c>
      <c r="H40" s="13">
        <f>H39*15%</f>
        <v>73508.099999999991</v>
      </c>
    </row>
    <row r="41" spans="1:9" ht="15.6" x14ac:dyDescent="0.3">
      <c r="A41" s="106" t="s">
        <v>24</v>
      </c>
      <c r="B41" s="106"/>
      <c r="C41" s="106"/>
      <c r="D41" s="17"/>
      <c r="E41" s="44"/>
      <c r="F41" s="117" t="s">
        <v>37</v>
      </c>
      <c r="G41" s="118"/>
      <c r="H41" s="31">
        <f>H39+H40</f>
        <v>563562.1</v>
      </c>
    </row>
    <row r="42" spans="1:9" x14ac:dyDescent="0.3">
      <c r="A42" s="22" t="s">
        <v>29</v>
      </c>
      <c r="B42" s="23"/>
      <c r="C42" s="23"/>
      <c r="D42" s="5"/>
      <c r="E42" s="5"/>
      <c r="F42" s="5"/>
      <c r="G42" s="5"/>
    </row>
    <row r="43" spans="1:9" x14ac:dyDescent="0.3">
      <c r="A43" s="22" t="s">
        <v>30</v>
      </c>
      <c r="B43" s="23"/>
      <c r="C43" s="23"/>
      <c r="D43" s="15"/>
      <c r="E43" s="15"/>
      <c r="F43" s="15"/>
      <c r="G43" s="15"/>
      <c r="H43" s="15"/>
    </row>
    <row r="44" spans="1:9" x14ac:dyDescent="0.3">
      <c r="A44" s="23" t="s">
        <v>137</v>
      </c>
      <c r="B44" s="23"/>
      <c r="C44" s="23"/>
      <c r="E44" s="14"/>
      <c r="F44" s="14"/>
      <c r="G44" s="14"/>
      <c r="H44" s="14"/>
    </row>
    <row r="45" spans="1:9" x14ac:dyDescent="0.3">
      <c r="A45" s="23" t="s">
        <v>31</v>
      </c>
      <c r="B45" s="23"/>
      <c r="C45" s="23"/>
      <c r="E45" s="16"/>
      <c r="F45" s="16"/>
      <c r="G45" s="16"/>
      <c r="H45" s="16"/>
    </row>
    <row r="46" spans="1:9" x14ac:dyDescent="0.3">
      <c r="A46" s="18"/>
      <c r="B46" s="18"/>
      <c r="C46" s="18"/>
      <c r="E46" s="24" t="s">
        <v>33</v>
      </c>
      <c r="F46" s="24"/>
      <c r="G46" s="24"/>
      <c r="H46" s="24"/>
    </row>
    <row r="47" spans="1:9" x14ac:dyDescent="0.3">
      <c r="A47" s="18"/>
      <c r="B47" s="18"/>
      <c r="C47" s="18"/>
      <c r="E47" s="14"/>
      <c r="F47" s="14"/>
      <c r="G47" s="14"/>
      <c r="H47" s="14"/>
    </row>
    <row r="48" spans="1:9" x14ac:dyDescent="0.3">
      <c r="A48" s="103"/>
      <c r="B48" s="103"/>
      <c r="C48" s="103"/>
      <c r="E48" s="16"/>
      <c r="F48" s="16"/>
      <c r="G48" s="16"/>
      <c r="H48" s="16"/>
    </row>
    <row r="49" spans="1:8" x14ac:dyDescent="0.3">
      <c r="A49" s="24" t="s">
        <v>32</v>
      </c>
      <c r="B49" s="24"/>
      <c r="C49" s="24"/>
      <c r="E49" s="14" t="s">
        <v>1</v>
      </c>
      <c r="F49" s="14"/>
      <c r="G49" s="14"/>
      <c r="H49" s="14"/>
    </row>
    <row r="50" spans="1:8" x14ac:dyDescent="0.3">
      <c r="A50" s="14"/>
      <c r="B50" s="14"/>
      <c r="C50" s="14"/>
      <c r="E50" s="14"/>
      <c r="F50" s="14"/>
      <c r="G50" s="14"/>
      <c r="H50" s="14"/>
    </row>
    <row r="51" spans="1:8" x14ac:dyDescent="0.3">
      <c r="A51" s="101">
        <f>H4</f>
        <v>46107</v>
      </c>
      <c r="B51" s="102"/>
      <c r="C51" s="102"/>
      <c r="E51" s="104"/>
      <c r="F51" s="95"/>
      <c r="G51" s="95"/>
      <c r="H51" s="95"/>
    </row>
    <row r="52" spans="1:8" ht="25.2" customHeight="1" x14ac:dyDescent="0.3">
      <c r="A52" s="24" t="s">
        <v>0</v>
      </c>
      <c r="B52" s="14"/>
      <c r="C52" s="14"/>
      <c r="E52" s="24" t="s">
        <v>0</v>
      </c>
      <c r="F52" s="14"/>
      <c r="G52" s="14"/>
      <c r="H52" s="14"/>
    </row>
  </sheetData>
  <mergeCells count="39">
    <mergeCell ref="F41:G41"/>
    <mergeCell ref="E8:G8"/>
    <mergeCell ref="H19:H20"/>
    <mergeCell ref="G1:H1"/>
    <mergeCell ref="E9:G9"/>
    <mergeCell ref="E11:G11"/>
    <mergeCell ref="E12:G12"/>
    <mergeCell ref="A1:F1"/>
    <mergeCell ref="A3:D3"/>
    <mergeCell ref="A4:D4"/>
    <mergeCell ref="E3:G3"/>
    <mergeCell ref="E4:G4"/>
    <mergeCell ref="E5:G5"/>
    <mergeCell ref="E6:G6"/>
    <mergeCell ref="E7:G7"/>
    <mergeCell ref="E15:G15"/>
    <mergeCell ref="A19:A20"/>
    <mergeCell ref="B19:B20"/>
    <mergeCell ref="E13:G13"/>
    <mergeCell ref="E14:G14"/>
    <mergeCell ref="A15:D15"/>
    <mergeCell ref="A16:D16"/>
    <mergeCell ref="A17:D17"/>
    <mergeCell ref="A51:C51"/>
    <mergeCell ref="A48:C48"/>
    <mergeCell ref="E51:H51"/>
    <mergeCell ref="A5:D5"/>
    <mergeCell ref="A6:D6"/>
    <mergeCell ref="A7:D7"/>
    <mergeCell ref="A41:C41"/>
    <mergeCell ref="A8:D8"/>
    <mergeCell ref="A10:D10"/>
    <mergeCell ref="E10:G10"/>
    <mergeCell ref="A11:D11"/>
    <mergeCell ref="A12:D12"/>
    <mergeCell ref="A13:D13"/>
    <mergeCell ref="A14:D14"/>
    <mergeCell ref="C19:E19"/>
    <mergeCell ref="F19:G19"/>
  </mergeCells>
  <phoneticPr fontId="11" type="noConversion"/>
  <dataValidations count="1">
    <dataValidation type="whole" operator="greaterThanOrEqual" showErrorMessage="1" errorTitle="Invalid" error="Enter a whole number ≥ 0" sqref="C21:C37 F21:F37" xr:uid="{C6D762D9-E729-416C-B9B8-C414A1A3C1A1}">
      <formula1>0</formula1>
      <formula2>0</formula2>
    </dataValidation>
  </dataValidations>
  <pageMargins left="0.7" right="0.7" top="1.542" bottom="0.75" header="0.3" footer="0.3"/>
  <pageSetup paperSize="9" scale="81" fitToHeight="0" orientation="portrait" r:id="rId1"/>
  <headerFooter>
    <oddHeader>&amp;L&amp;"-,Bold"&amp;22TAX INVOICE&amp;10
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C490-9475-4092-9D4D-DDA8F324246F}">
  <sheetPr>
    <pageSetUpPr fitToPage="1"/>
  </sheetPr>
  <dimension ref="A1:J29"/>
  <sheetViews>
    <sheetView tabSelected="1" view="pageBreakPreview" zoomScaleNormal="100" zoomScaleSheetLayoutView="100" workbookViewId="0">
      <selection activeCell="D29" sqref="D29"/>
    </sheetView>
  </sheetViews>
  <sheetFormatPr defaultRowHeight="14.4" x14ac:dyDescent="0.3"/>
  <cols>
    <col min="1" max="1" width="9.6640625" customWidth="1"/>
    <col min="2" max="2" width="24.44140625" customWidth="1"/>
    <col min="3" max="3" width="10.109375" bestFit="1" customWidth="1"/>
    <col min="4" max="5" width="14.33203125" bestFit="1" customWidth="1"/>
    <col min="6" max="6" width="19" bestFit="1" customWidth="1"/>
    <col min="7" max="8" width="14.33203125" bestFit="1" customWidth="1"/>
    <col min="9" max="9" width="13.44140625" bestFit="1" customWidth="1"/>
    <col min="10" max="10" width="7.44140625" bestFit="1" customWidth="1"/>
    <col min="11" max="13" width="10.6640625" customWidth="1"/>
  </cols>
  <sheetData>
    <row r="1" spans="1:10" ht="19.2" x14ac:dyDescent="0.3">
      <c r="A1" s="89" t="s">
        <v>35</v>
      </c>
      <c r="B1" s="89"/>
      <c r="C1" s="89"/>
      <c r="D1" s="89"/>
      <c r="E1" s="89"/>
      <c r="F1" s="89"/>
      <c r="G1" s="90" t="s">
        <v>138</v>
      </c>
      <c r="H1" s="90"/>
      <c r="I1" s="90"/>
      <c r="J1" s="90"/>
    </row>
    <row r="2" spans="1:10" ht="1.9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0" x14ac:dyDescent="0.3">
      <c r="A3" s="35" t="s">
        <v>130</v>
      </c>
      <c r="B3" s="35"/>
      <c r="C3" s="35"/>
      <c r="D3" s="35"/>
      <c r="E3" s="35"/>
      <c r="F3" s="35"/>
      <c r="G3" s="35"/>
      <c r="H3" s="35"/>
      <c r="I3" s="35"/>
      <c r="J3" s="35"/>
    </row>
    <row r="4" spans="1:10" x14ac:dyDescent="0.3">
      <c r="A4" s="35" t="s">
        <v>131</v>
      </c>
      <c r="B4" s="35"/>
      <c r="C4" s="35"/>
      <c r="D4" s="35"/>
      <c r="E4" s="35"/>
      <c r="F4" s="35"/>
      <c r="G4" s="35"/>
      <c r="H4" s="35"/>
      <c r="I4" s="35"/>
      <c r="J4" s="35"/>
    </row>
    <row r="5" spans="1:10" x14ac:dyDescent="0.3">
      <c r="A5" s="35" t="s">
        <v>132</v>
      </c>
      <c r="B5" s="35"/>
      <c r="C5" s="35"/>
      <c r="D5" s="35"/>
      <c r="E5" s="35"/>
      <c r="F5" s="35"/>
      <c r="G5" s="35"/>
      <c r="H5" s="35"/>
      <c r="I5" s="35"/>
      <c r="J5" s="35"/>
    </row>
    <row r="6" spans="1:10" ht="15" thickBot="1" x14ac:dyDescent="0.35">
      <c r="A6" s="41" t="s">
        <v>133</v>
      </c>
      <c r="B6" s="35"/>
      <c r="C6" s="35"/>
      <c r="D6" s="35"/>
      <c r="E6" s="35"/>
      <c r="F6" s="35"/>
      <c r="G6" s="35"/>
      <c r="H6" s="35"/>
      <c r="I6" s="35"/>
      <c r="J6" s="35"/>
    </row>
    <row r="7" spans="1:10" ht="29.4" thickBot="1" x14ac:dyDescent="0.35">
      <c r="A7" s="91" t="s">
        <v>28</v>
      </c>
      <c r="B7" s="92"/>
      <c r="C7" s="83" t="s">
        <v>148</v>
      </c>
      <c r="D7" s="63" t="s">
        <v>122</v>
      </c>
      <c r="E7" s="63" t="s">
        <v>121</v>
      </c>
      <c r="F7" s="63" t="s">
        <v>122</v>
      </c>
      <c r="G7" s="63" t="s">
        <v>121</v>
      </c>
      <c r="H7" s="63" t="s">
        <v>122</v>
      </c>
      <c r="I7" s="63" t="s">
        <v>121</v>
      </c>
      <c r="J7" s="64" t="s">
        <v>135</v>
      </c>
    </row>
    <row r="8" spans="1:10" x14ac:dyDescent="0.3">
      <c r="A8" s="93" t="str">
        <f>'Invoice — Region 2'!B21</f>
        <v>Themba View Ext 1</v>
      </c>
      <c r="B8" s="94"/>
      <c r="C8" s="84">
        <f>'Invoice — Region 2'!C21</f>
        <v>1</v>
      </c>
      <c r="D8" s="85"/>
      <c r="E8" s="85">
        <v>46090</v>
      </c>
      <c r="F8" s="85">
        <v>46093</v>
      </c>
      <c r="G8" s="85">
        <v>46097</v>
      </c>
      <c r="H8" s="85">
        <v>46100</v>
      </c>
      <c r="I8" s="85">
        <v>46104</v>
      </c>
      <c r="J8" s="86">
        <f>COUNT(D8:I8)</f>
        <v>5</v>
      </c>
    </row>
    <row r="9" spans="1:10" x14ac:dyDescent="0.3">
      <c r="A9" s="96" t="str">
        <f>'Invoice — Region 2'!B22</f>
        <v>Themba View Ext 1</v>
      </c>
      <c r="B9" s="97"/>
      <c r="C9" s="82">
        <f>'Invoice — Region 2'!C22</f>
        <v>7</v>
      </c>
      <c r="D9" s="61"/>
      <c r="E9" s="61">
        <v>46090</v>
      </c>
      <c r="F9" s="61">
        <v>46093</v>
      </c>
      <c r="G9" s="61">
        <v>46097</v>
      </c>
      <c r="H9" s="61">
        <v>46100</v>
      </c>
      <c r="I9" s="61">
        <v>46104</v>
      </c>
      <c r="J9" s="60">
        <f t="shared" ref="J9:J22" si="0">COUNT(D9:I9)</f>
        <v>5</v>
      </c>
    </row>
    <row r="10" spans="1:10" x14ac:dyDescent="0.3">
      <c r="A10" s="96" t="str">
        <f>'Invoice — Region 2'!B23</f>
        <v>Marokolong</v>
      </c>
      <c r="B10" s="97"/>
      <c r="C10" s="82">
        <f>'Invoice — Region 2'!C23</f>
        <v>11</v>
      </c>
      <c r="D10" s="61"/>
      <c r="E10" s="61">
        <v>46090</v>
      </c>
      <c r="F10" s="61">
        <v>46093</v>
      </c>
      <c r="G10" s="61">
        <v>46097</v>
      </c>
      <c r="H10" s="61">
        <v>46100</v>
      </c>
      <c r="I10" s="61">
        <v>46104</v>
      </c>
      <c r="J10" s="60">
        <f t="shared" si="0"/>
        <v>5</v>
      </c>
    </row>
    <row r="11" spans="1:10" x14ac:dyDescent="0.3">
      <c r="A11" s="96" t="str">
        <f>'Invoice — Region 2'!B24</f>
        <v>Hammanskraal Ext 4</v>
      </c>
      <c r="B11" s="97"/>
      <c r="C11" s="82">
        <f>'Invoice — Region 2'!C24</f>
        <v>16</v>
      </c>
      <c r="D11" s="61">
        <v>46086</v>
      </c>
      <c r="E11" s="61">
        <v>46090</v>
      </c>
      <c r="F11" s="61">
        <v>46093</v>
      </c>
      <c r="G11" s="61">
        <v>46097</v>
      </c>
      <c r="H11" s="61">
        <v>46100</v>
      </c>
      <c r="I11" s="61">
        <v>46104</v>
      </c>
      <c r="J11" s="60">
        <f t="shared" si="0"/>
        <v>6</v>
      </c>
    </row>
    <row r="12" spans="1:10" x14ac:dyDescent="0.3">
      <c r="A12" s="96" t="str">
        <f>'Invoice — Region 2'!B25</f>
        <v>Hammanskraal Ext 4</v>
      </c>
      <c r="B12" s="97"/>
      <c r="C12" s="82">
        <f>'Invoice — Region 2'!C25</f>
        <v>14</v>
      </c>
      <c r="D12" s="61"/>
      <c r="E12" s="61">
        <v>46090</v>
      </c>
      <c r="F12" s="61">
        <v>46093</v>
      </c>
      <c r="G12" s="61">
        <v>46097</v>
      </c>
      <c r="H12" s="61">
        <v>46100</v>
      </c>
      <c r="I12" s="61">
        <v>46104</v>
      </c>
      <c r="J12" s="60">
        <f t="shared" si="0"/>
        <v>5</v>
      </c>
    </row>
    <row r="13" spans="1:10" x14ac:dyDescent="0.3">
      <c r="A13" s="96" t="str">
        <f>'Invoice — Region 2'!B26</f>
        <v>Hammanskraal portion 9 &amp; 10</v>
      </c>
      <c r="B13" s="97"/>
      <c r="C13" s="82">
        <f>'Invoice — Region 2'!C26</f>
        <v>160</v>
      </c>
      <c r="D13" s="61">
        <v>46086</v>
      </c>
      <c r="E13" s="61">
        <v>46090</v>
      </c>
      <c r="F13" s="61">
        <v>46093</v>
      </c>
      <c r="G13" s="61">
        <v>46097</v>
      </c>
      <c r="H13" s="61">
        <v>46100</v>
      </c>
      <c r="I13" s="61">
        <v>46104</v>
      </c>
      <c r="J13" s="60">
        <f t="shared" si="0"/>
        <v>6</v>
      </c>
    </row>
    <row r="14" spans="1:10" x14ac:dyDescent="0.3">
      <c r="A14" s="96" t="str">
        <f>'Invoice — Region 2'!B27</f>
        <v>Soshanguve X Buffer C</v>
      </c>
      <c r="B14" s="97"/>
      <c r="C14" s="82">
        <f>'Invoice — Region 2'!C27</f>
        <v>50</v>
      </c>
      <c r="D14" s="61"/>
      <c r="E14" s="61">
        <v>46090</v>
      </c>
      <c r="F14" s="61">
        <v>46093</v>
      </c>
      <c r="G14" s="61">
        <v>46097</v>
      </c>
      <c r="H14" s="61">
        <v>46100</v>
      </c>
      <c r="I14" s="61">
        <v>46104</v>
      </c>
      <c r="J14" s="60">
        <f t="shared" si="0"/>
        <v>5</v>
      </c>
    </row>
    <row r="15" spans="1:10" x14ac:dyDescent="0.3">
      <c r="A15" s="96" t="str">
        <f>'Invoice — Region 2'!B28</f>
        <v>Soshanguve X Buffer D</v>
      </c>
      <c r="B15" s="97"/>
      <c r="C15" s="82">
        <f>'Invoice — Region 2'!C28</f>
        <v>60</v>
      </c>
      <c r="D15" s="61">
        <v>46086</v>
      </c>
      <c r="E15" s="61">
        <v>46090</v>
      </c>
      <c r="F15" s="61">
        <v>46093</v>
      </c>
      <c r="G15" s="61">
        <v>46097</v>
      </c>
      <c r="H15" s="61">
        <v>46100</v>
      </c>
      <c r="I15" s="61">
        <v>46104</v>
      </c>
      <c r="J15" s="60">
        <f t="shared" si="0"/>
        <v>6</v>
      </c>
    </row>
    <row r="16" spans="1:10" x14ac:dyDescent="0.3">
      <c r="A16" s="96" t="str">
        <f>'Invoice — Region 2'!B29</f>
        <v>Soshanguve X Buffer Civcon</v>
      </c>
      <c r="B16" s="97"/>
      <c r="C16" s="82">
        <f>'Invoice — Region 2'!C29</f>
        <v>10</v>
      </c>
      <c r="D16" s="61"/>
      <c r="E16" s="61">
        <v>46090</v>
      </c>
      <c r="F16" s="61">
        <v>46093</v>
      </c>
      <c r="G16" s="61">
        <v>46097</v>
      </c>
      <c r="H16" s="61">
        <v>46100</v>
      </c>
      <c r="I16" s="61">
        <v>46104</v>
      </c>
      <c r="J16" s="60">
        <f t="shared" si="0"/>
        <v>5</v>
      </c>
    </row>
    <row r="17" spans="1:10" x14ac:dyDescent="0.3">
      <c r="A17" s="96" t="str">
        <f>'Invoice — Region 2'!B30</f>
        <v>Dali Mpofu</v>
      </c>
      <c r="B17" s="97"/>
      <c r="C17" s="82">
        <f>'Invoice — Region 2'!C30</f>
        <v>40</v>
      </c>
      <c r="D17" s="61">
        <v>46086</v>
      </c>
      <c r="E17" s="61">
        <v>46090</v>
      </c>
      <c r="F17" s="61">
        <v>46093</v>
      </c>
      <c r="G17" s="61">
        <v>46097</v>
      </c>
      <c r="H17" s="61">
        <v>46100</v>
      </c>
      <c r="I17" s="61">
        <v>46104</v>
      </c>
      <c r="J17" s="60">
        <f t="shared" si="0"/>
        <v>6</v>
      </c>
    </row>
    <row r="18" spans="1:10" x14ac:dyDescent="0.3">
      <c r="A18" s="96" t="str">
        <f>'Invoice — Region 2'!B31</f>
        <v>Stinkwater</v>
      </c>
      <c r="B18" s="97"/>
      <c r="C18" s="82">
        <f>'Invoice — Region 2'!C31</f>
        <v>3</v>
      </c>
      <c r="D18" s="61"/>
      <c r="E18" s="61">
        <v>46090</v>
      </c>
      <c r="F18" s="61">
        <v>46093</v>
      </c>
      <c r="G18" s="61">
        <v>46097</v>
      </c>
      <c r="H18" s="61">
        <v>46100</v>
      </c>
      <c r="I18" s="61">
        <v>46104</v>
      </c>
      <c r="J18" s="60">
        <f t="shared" si="0"/>
        <v>5</v>
      </c>
    </row>
    <row r="19" spans="1:10" x14ac:dyDescent="0.3">
      <c r="A19" s="96" t="str">
        <f>'Invoice — Region 2'!B32</f>
        <v>Stinkwater Ext 10</v>
      </c>
      <c r="B19" s="97"/>
      <c r="C19" s="82">
        <f>'Invoice — Region 2'!C32</f>
        <v>70</v>
      </c>
      <c r="D19" s="61"/>
      <c r="E19" s="61">
        <v>46090</v>
      </c>
      <c r="F19" s="61">
        <v>46093</v>
      </c>
      <c r="G19" s="61">
        <v>46097</v>
      </c>
      <c r="H19" s="61">
        <v>46100</v>
      </c>
      <c r="I19" s="61">
        <v>46104</v>
      </c>
      <c r="J19" s="60">
        <f t="shared" si="0"/>
        <v>5</v>
      </c>
    </row>
    <row r="20" spans="1:10" x14ac:dyDescent="0.3">
      <c r="A20" s="96" t="str">
        <f>'Invoice — Region 2'!B33</f>
        <v>Chris Hani</v>
      </c>
      <c r="B20" s="97"/>
      <c r="C20" s="82">
        <f>'Invoice — Region 2'!C33</f>
        <v>80</v>
      </c>
      <c r="D20" s="61">
        <v>46086</v>
      </c>
      <c r="E20" s="61">
        <v>46090</v>
      </c>
      <c r="F20" s="61">
        <v>46093</v>
      </c>
      <c r="G20" s="61">
        <v>46097</v>
      </c>
      <c r="H20" s="61">
        <v>46100</v>
      </c>
      <c r="I20" s="61">
        <v>46104</v>
      </c>
      <c r="J20" s="60">
        <f t="shared" si="0"/>
        <v>6</v>
      </c>
    </row>
    <row r="21" spans="1:10" x14ac:dyDescent="0.3">
      <c r="A21" s="96" t="str">
        <f>'Invoice — Region 2'!B34</f>
        <v>Phomolong Phase 1</v>
      </c>
      <c r="B21" s="97"/>
      <c r="C21" s="82">
        <f>'Invoice — Region 2'!C34</f>
        <v>59</v>
      </c>
      <c r="D21" s="61"/>
      <c r="E21" s="61">
        <v>46090</v>
      </c>
      <c r="F21" s="61">
        <v>46093</v>
      </c>
      <c r="G21" s="61">
        <v>46097</v>
      </c>
      <c r="H21" s="61">
        <v>46100</v>
      </c>
      <c r="I21" s="61">
        <v>46104</v>
      </c>
      <c r="J21" s="60">
        <f t="shared" si="0"/>
        <v>5</v>
      </c>
    </row>
    <row r="22" spans="1:10" ht="15" thickBot="1" x14ac:dyDescent="0.35">
      <c r="A22" s="99" t="str">
        <f>'Invoice — Region 2'!B35</f>
        <v>Greenfield Ext 14 (Lefika Camp)</v>
      </c>
      <c r="B22" s="100"/>
      <c r="C22" s="87">
        <f>'Invoice — Region 2'!C35</f>
        <v>15</v>
      </c>
      <c r="D22" s="62"/>
      <c r="E22" s="62">
        <v>46090</v>
      </c>
      <c r="F22" s="62">
        <v>46093</v>
      </c>
      <c r="G22" s="62">
        <v>46097</v>
      </c>
      <c r="H22" s="62">
        <v>46100</v>
      </c>
      <c r="I22" s="62">
        <v>46104</v>
      </c>
      <c r="J22" s="88">
        <f t="shared" si="0"/>
        <v>5</v>
      </c>
    </row>
    <row r="23" spans="1:10" x14ac:dyDescent="0.3">
      <c r="D23" s="43"/>
      <c r="E23" s="43"/>
      <c r="F23" s="43"/>
      <c r="G23" s="43"/>
      <c r="H23" s="43"/>
      <c r="I23" s="43"/>
      <c r="J23" s="36"/>
    </row>
    <row r="24" spans="1:10" x14ac:dyDescent="0.3">
      <c r="D24" s="43"/>
      <c r="E24" s="43"/>
      <c r="F24" s="43"/>
      <c r="G24" s="43"/>
      <c r="H24" s="43"/>
      <c r="I24" s="43"/>
      <c r="J24" s="36"/>
    </row>
    <row r="25" spans="1:10" x14ac:dyDescent="0.3">
      <c r="A25" s="95"/>
      <c r="B25" s="95"/>
      <c r="C25" s="95"/>
      <c r="D25" s="95"/>
      <c r="E25" s="14"/>
      <c r="F25" s="95"/>
      <c r="G25" s="95"/>
      <c r="H25" s="95"/>
      <c r="I25" s="95"/>
      <c r="J25" s="14"/>
    </row>
    <row r="26" spans="1:10" x14ac:dyDescent="0.3">
      <c r="A26" s="24" t="s">
        <v>32</v>
      </c>
      <c r="B26" s="24"/>
      <c r="C26" s="24"/>
      <c r="D26" s="24"/>
      <c r="E26" s="24"/>
      <c r="F26" s="24" t="s">
        <v>33</v>
      </c>
      <c r="G26" s="24"/>
      <c r="H26" s="14"/>
      <c r="I26" s="24"/>
      <c r="J26" s="24"/>
    </row>
    <row r="27" spans="1:10" x14ac:dyDescent="0.3">
      <c r="A27" s="24"/>
      <c r="B27" s="24"/>
      <c r="C27" s="24"/>
      <c r="D27" s="24"/>
      <c r="E27" s="24"/>
      <c r="F27" s="24"/>
      <c r="G27" s="24"/>
      <c r="H27" s="14"/>
      <c r="I27" s="24"/>
      <c r="J27" s="24"/>
    </row>
    <row r="28" spans="1:10" x14ac:dyDescent="0.3">
      <c r="A28" s="98">
        <v>46107</v>
      </c>
      <c r="B28" s="98"/>
      <c r="C28" s="81"/>
      <c r="D28" s="14"/>
      <c r="E28" s="14"/>
      <c r="F28" s="95"/>
      <c r="G28" s="95"/>
      <c r="H28" s="95"/>
      <c r="I28" s="95"/>
      <c r="J28" s="14"/>
    </row>
    <row r="29" spans="1:10" x14ac:dyDescent="0.3">
      <c r="A29" s="98" t="s">
        <v>134</v>
      </c>
      <c r="B29" s="98"/>
      <c r="C29" s="81"/>
      <c r="D29" s="42"/>
      <c r="E29" s="42"/>
      <c r="F29" s="98" t="s">
        <v>134</v>
      </c>
      <c r="G29" s="98"/>
      <c r="H29" s="42"/>
      <c r="I29" s="42"/>
      <c r="J29" s="42"/>
    </row>
  </sheetData>
  <mergeCells count="24">
    <mergeCell ref="A11:B11"/>
    <mergeCell ref="F28:I28"/>
    <mergeCell ref="F25:I25"/>
    <mergeCell ref="F29:G29"/>
    <mergeCell ref="A28:B28"/>
    <mergeCell ref="A21:B21"/>
    <mergeCell ref="A22:B22"/>
    <mergeCell ref="A29:B29"/>
    <mergeCell ref="A1:F1"/>
    <mergeCell ref="G1:J1"/>
    <mergeCell ref="A7:B7"/>
    <mergeCell ref="A8:B8"/>
    <mergeCell ref="A25:D25"/>
    <mergeCell ref="A19:B19"/>
    <mergeCell ref="A14:B14"/>
    <mergeCell ref="A12:B12"/>
    <mergeCell ref="A13:B13"/>
    <mergeCell ref="A17:B17"/>
    <mergeCell ref="A18:B18"/>
    <mergeCell ref="A15:B15"/>
    <mergeCell ref="A16:B16"/>
    <mergeCell ref="A20:B20"/>
    <mergeCell ref="A9:B9"/>
    <mergeCell ref="A10:B10"/>
  </mergeCells>
  <phoneticPr fontId="11" type="noConversion"/>
  <pageMargins left="0.7" right="0.7" top="1.542" bottom="0.75" header="0.3" footer="0.3"/>
  <pageSetup paperSize="9" scale="92" fitToHeight="0" orientation="landscape" r:id="rId1"/>
  <headerFooter>
    <oddHeader>&amp;L&amp;"-,Bold"&amp;9SERVICE NOTES
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82A30-A8B0-4D01-A196-1BCBF43D5969}">
  <dimension ref="A1:D27"/>
  <sheetViews>
    <sheetView view="pageBreakPreview" zoomScaleNormal="100" zoomScaleSheetLayoutView="100" workbookViewId="0">
      <selection activeCell="A19" sqref="A19:D27"/>
    </sheetView>
  </sheetViews>
  <sheetFormatPr defaultRowHeight="14.4" x14ac:dyDescent="0.3"/>
  <cols>
    <col min="1" max="1" width="41.21875" bestFit="1" customWidth="1"/>
    <col min="2" max="2" width="4" customWidth="1"/>
    <col min="3" max="3" width="14.33203125" customWidth="1"/>
    <col min="4" max="4" width="27.109375" customWidth="1"/>
    <col min="5" max="5" width="12.44140625" bestFit="1" customWidth="1"/>
    <col min="6" max="8" width="10.6640625" customWidth="1"/>
  </cols>
  <sheetData>
    <row r="1" spans="1:4" ht="19.2" x14ac:dyDescent="0.3">
      <c r="A1" s="123" t="s">
        <v>146</v>
      </c>
      <c r="B1" s="123"/>
      <c r="C1" s="123"/>
      <c r="D1" s="123"/>
    </row>
    <row r="2" spans="1:4" ht="1.95" customHeight="1" x14ac:dyDescent="0.3">
      <c r="A2" s="10"/>
      <c r="B2" s="10"/>
      <c r="C2" s="10"/>
      <c r="D2" s="10"/>
    </row>
    <row r="3" spans="1:4" x14ac:dyDescent="0.3">
      <c r="A3" s="34"/>
      <c r="B3" s="34"/>
      <c r="C3" s="34"/>
      <c r="D3" s="34"/>
    </row>
    <row r="4" spans="1:4" x14ac:dyDescent="0.3">
      <c r="A4" s="126" t="s">
        <v>140</v>
      </c>
      <c r="B4" s="127"/>
      <c r="C4" s="65" t="s">
        <v>139</v>
      </c>
      <c r="D4" s="65" t="s">
        <v>142</v>
      </c>
    </row>
    <row r="5" spans="1:4" x14ac:dyDescent="0.3">
      <c r="A5" s="128" t="s">
        <v>120</v>
      </c>
      <c r="B5" s="129"/>
      <c r="C5" s="66">
        <v>8</v>
      </c>
      <c r="D5" s="67" t="s">
        <v>141</v>
      </c>
    </row>
    <row r="6" spans="1:4" x14ac:dyDescent="0.3">
      <c r="A6" s="124" t="s">
        <v>13</v>
      </c>
      <c r="B6" s="125"/>
      <c r="C6" s="69">
        <v>11</v>
      </c>
      <c r="D6" s="67" t="s">
        <v>141</v>
      </c>
    </row>
    <row r="7" spans="1:4" x14ac:dyDescent="0.3">
      <c r="A7" s="124" t="s">
        <v>14</v>
      </c>
      <c r="B7" s="125"/>
      <c r="C7" s="69">
        <v>30</v>
      </c>
      <c r="D7" s="67" t="s">
        <v>141</v>
      </c>
    </row>
    <row r="8" spans="1:4" x14ac:dyDescent="0.3">
      <c r="A8" s="124" t="s">
        <v>15</v>
      </c>
      <c r="B8" s="125"/>
      <c r="C8" s="69">
        <v>160</v>
      </c>
      <c r="D8" s="67" t="s">
        <v>141</v>
      </c>
    </row>
    <row r="9" spans="1:4" x14ac:dyDescent="0.3">
      <c r="A9" s="124" t="s">
        <v>16</v>
      </c>
      <c r="B9" s="125"/>
      <c r="C9" s="69">
        <v>50</v>
      </c>
      <c r="D9" s="67" t="s">
        <v>141</v>
      </c>
    </row>
    <row r="10" spans="1:4" x14ac:dyDescent="0.3">
      <c r="A10" s="124" t="s">
        <v>17</v>
      </c>
      <c r="B10" s="125"/>
      <c r="C10" s="69">
        <v>60</v>
      </c>
      <c r="D10" s="67" t="s">
        <v>141</v>
      </c>
    </row>
    <row r="11" spans="1:4" x14ac:dyDescent="0.3">
      <c r="A11" s="124" t="s">
        <v>18</v>
      </c>
      <c r="B11" s="125"/>
      <c r="C11" s="69">
        <v>10</v>
      </c>
      <c r="D11" s="67" t="s">
        <v>141</v>
      </c>
    </row>
    <row r="12" spans="1:4" x14ac:dyDescent="0.3">
      <c r="A12" s="124" t="s">
        <v>19</v>
      </c>
      <c r="B12" s="125"/>
      <c r="C12" s="69">
        <v>40</v>
      </c>
      <c r="D12" s="67" t="s">
        <v>141</v>
      </c>
    </row>
    <row r="13" spans="1:4" x14ac:dyDescent="0.3">
      <c r="A13" s="124" t="s">
        <v>20</v>
      </c>
      <c r="B13" s="125"/>
      <c r="C13" s="69">
        <v>3</v>
      </c>
      <c r="D13" s="67" t="s">
        <v>141</v>
      </c>
    </row>
    <row r="14" spans="1:4" x14ac:dyDescent="0.3">
      <c r="A14" s="124" t="s">
        <v>21</v>
      </c>
      <c r="B14" s="125"/>
      <c r="C14" s="69">
        <v>70</v>
      </c>
      <c r="D14" s="67" t="s">
        <v>141</v>
      </c>
    </row>
    <row r="15" spans="1:4" x14ac:dyDescent="0.3">
      <c r="A15" s="124" t="s">
        <v>22</v>
      </c>
      <c r="B15" s="125"/>
      <c r="C15" s="69">
        <v>80</v>
      </c>
      <c r="D15" s="67" t="s">
        <v>141</v>
      </c>
    </row>
    <row r="16" spans="1:4" x14ac:dyDescent="0.3">
      <c r="A16" s="124" t="s">
        <v>23</v>
      </c>
      <c r="B16" s="125"/>
      <c r="C16" s="69">
        <v>59</v>
      </c>
      <c r="D16" s="67" t="s">
        <v>141</v>
      </c>
    </row>
    <row r="17" spans="1:4" x14ac:dyDescent="0.3">
      <c r="A17" s="124" t="s">
        <v>145</v>
      </c>
      <c r="B17" s="125"/>
      <c r="C17" s="69">
        <v>15</v>
      </c>
      <c r="D17" s="67" t="s">
        <v>141</v>
      </c>
    </row>
    <row r="18" spans="1:4" x14ac:dyDescent="0.3">
      <c r="A18" s="124"/>
      <c r="B18" s="125"/>
      <c r="C18" s="68"/>
      <c r="D18" s="66"/>
    </row>
    <row r="19" spans="1:4" ht="30" customHeight="1" x14ac:dyDescent="0.3">
      <c r="A19" s="14"/>
      <c r="B19" s="14"/>
      <c r="C19" s="130"/>
      <c r="D19" s="130"/>
    </row>
    <row r="20" spans="1:4" x14ac:dyDescent="0.3">
      <c r="A20" s="24" t="s">
        <v>143</v>
      </c>
      <c r="B20" s="24"/>
      <c r="C20" s="131" t="s">
        <v>33</v>
      </c>
      <c r="D20" s="131"/>
    </row>
    <row r="21" spans="1:4" x14ac:dyDescent="0.3">
      <c r="A21" s="14"/>
      <c r="B21" s="14"/>
      <c r="C21" s="130"/>
      <c r="D21" s="130"/>
    </row>
    <row r="22" spans="1:4" ht="28.8" customHeight="1" x14ac:dyDescent="0.3">
      <c r="A22" s="16" t="e" vm="1">
        <v>#VALUE!</v>
      </c>
      <c r="B22" s="14"/>
      <c r="C22" s="95"/>
      <c r="D22" s="95"/>
    </row>
    <row r="23" spans="1:4" x14ac:dyDescent="0.3">
      <c r="A23" s="14" t="s">
        <v>144</v>
      </c>
      <c r="B23" s="14"/>
      <c r="C23" s="130" t="s">
        <v>144</v>
      </c>
      <c r="D23" s="130"/>
    </row>
    <row r="24" spans="1:4" x14ac:dyDescent="0.3">
      <c r="A24" s="14"/>
      <c r="B24" s="14"/>
      <c r="C24" s="130"/>
      <c r="D24" s="130"/>
    </row>
    <row r="25" spans="1:4" ht="28.8" customHeight="1" x14ac:dyDescent="0.3">
      <c r="A25" s="71">
        <v>46107</v>
      </c>
      <c r="B25" s="70"/>
      <c r="C25" s="104"/>
      <c r="D25" s="104"/>
    </row>
    <row r="26" spans="1:4" x14ac:dyDescent="0.3">
      <c r="A26" s="24" t="s">
        <v>134</v>
      </c>
      <c r="B26" s="24"/>
      <c r="C26" s="131" t="s">
        <v>134</v>
      </c>
      <c r="D26" s="131"/>
    </row>
    <row r="27" spans="1:4" ht="25.2" customHeight="1" x14ac:dyDescent="0.3">
      <c r="A27" s="24"/>
      <c r="B27" s="24"/>
      <c r="C27" s="24"/>
      <c r="D27" s="24"/>
    </row>
  </sheetData>
  <mergeCells count="24">
    <mergeCell ref="A14:B14"/>
    <mergeCell ref="A15:B15"/>
    <mergeCell ref="A16:B16"/>
    <mergeCell ref="A17:B17"/>
    <mergeCell ref="A18:B18"/>
    <mergeCell ref="C23:D23"/>
    <mergeCell ref="C24:D24"/>
    <mergeCell ref="C25:D25"/>
    <mergeCell ref="C26:D26"/>
    <mergeCell ref="C19:D19"/>
    <mergeCell ref="C20:D20"/>
    <mergeCell ref="C21:D21"/>
    <mergeCell ref="C22:D22"/>
    <mergeCell ref="A11:B11"/>
    <mergeCell ref="A12:B12"/>
    <mergeCell ref="A13:B13"/>
    <mergeCell ref="A1:D1"/>
    <mergeCell ref="A4:B4"/>
    <mergeCell ref="A5:B5"/>
    <mergeCell ref="A6:B6"/>
    <mergeCell ref="A7:B7"/>
    <mergeCell ref="A8:B8"/>
    <mergeCell ref="A9:B9"/>
    <mergeCell ref="A10:B10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7AE44-3889-494F-83EF-339450C837A5}">
  <sheetPr>
    <pageSetUpPr fitToPage="1"/>
  </sheetPr>
  <dimension ref="A1:E70"/>
  <sheetViews>
    <sheetView view="pageBreakPreview" zoomScaleNormal="100" zoomScaleSheetLayoutView="100" workbookViewId="0">
      <selection activeCell="I58" sqref="I58"/>
    </sheetView>
  </sheetViews>
  <sheetFormatPr defaultColWidth="8.88671875" defaultRowHeight="13.8" x14ac:dyDescent="0.25"/>
  <cols>
    <col min="1" max="1" width="29.6640625" style="37" bestFit="1" customWidth="1"/>
    <col min="2" max="2" width="27.44140625" style="37" customWidth="1"/>
    <col min="3" max="3" width="3.109375" style="37" customWidth="1"/>
    <col min="4" max="4" width="28.33203125" style="39" bestFit="1" customWidth="1"/>
    <col min="5" max="5" width="20.109375" style="39" customWidth="1"/>
    <col min="6" max="6" width="12.44140625" style="37" bestFit="1" customWidth="1"/>
    <col min="7" max="9" width="10.6640625" style="37" customWidth="1"/>
    <col min="10" max="16384" width="8.88671875" style="37"/>
  </cols>
  <sheetData>
    <row r="1" spans="1:5" ht="19.8" x14ac:dyDescent="0.25">
      <c r="A1" s="132" t="s">
        <v>35</v>
      </c>
      <c r="B1" s="132"/>
      <c r="C1" s="132"/>
      <c r="D1" s="133" t="s">
        <v>44</v>
      </c>
      <c r="E1" s="133"/>
    </row>
    <row r="2" spans="1:5" ht="1.95" customHeight="1" x14ac:dyDescent="0.25">
      <c r="A2" s="72"/>
      <c r="B2" s="72"/>
      <c r="C2" s="72"/>
      <c r="D2" s="73"/>
      <c r="E2" s="73"/>
    </row>
    <row r="3" spans="1:5" ht="15.6" x14ac:dyDescent="0.3">
      <c r="A3" s="74" t="s">
        <v>41</v>
      </c>
      <c r="B3" s="74" t="s">
        <v>42</v>
      </c>
      <c r="C3" s="74"/>
      <c r="D3" s="75" t="s">
        <v>40</v>
      </c>
      <c r="E3" s="75" t="s">
        <v>43</v>
      </c>
    </row>
    <row r="4" spans="1:5" s="38" customFormat="1" ht="15.6" x14ac:dyDescent="0.3">
      <c r="A4" s="76" t="s">
        <v>46</v>
      </c>
      <c r="B4" s="80">
        <v>9305225537087</v>
      </c>
      <c r="C4" s="76"/>
      <c r="D4" s="77" t="s">
        <v>22</v>
      </c>
      <c r="E4" s="77" t="s">
        <v>115</v>
      </c>
    </row>
    <row r="5" spans="1:5" s="38" customFormat="1" ht="15.6" x14ac:dyDescent="0.3">
      <c r="A5" s="76" t="s">
        <v>47</v>
      </c>
      <c r="B5" s="80">
        <v>6806201263088</v>
      </c>
      <c r="C5" s="76"/>
      <c r="D5" s="77" t="s">
        <v>22</v>
      </c>
      <c r="E5" s="77" t="s">
        <v>116</v>
      </c>
    </row>
    <row r="6" spans="1:5" s="38" customFormat="1" ht="15.6" x14ac:dyDescent="0.3">
      <c r="A6" s="76" t="s">
        <v>48</v>
      </c>
      <c r="B6" s="80">
        <v>7509221121083</v>
      </c>
      <c r="C6" s="76"/>
      <c r="D6" s="77" t="s">
        <v>22</v>
      </c>
      <c r="E6" s="77" t="s">
        <v>116</v>
      </c>
    </row>
    <row r="7" spans="1:5" s="38" customFormat="1" ht="15.6" x14ac:dyDescent="0.3">
      <c r="A7" s="76" t="s">
        <v>49</v>
      </c>
      <c r="B7" s="80">
        <v>8202015595089</v>
      </c>
      <c r="C7" s="76"/>
      <c r="D7" s="77" t="s">
        <v>22</v>
      </c>
      <c r="E7" s="77" t="s">
        <v>116</v>
      </c>
    </row>
    <row r="8" spans="1:5" s="38" customFormat="1" ht="15.6" x14ac:dyDescent="0.3">
      <c r="A8" s="76" t="s">
        <v>50</v>
      </c>
      <c r="B8" s="80">
        <v>8003051321087</v>
      </c>
      <c r="C8" s="76"/>
      <c r="D8" s="77" t="s">
        <v>22</v>
      </c>
      <c r="E8" s="77" t="s">
        <v>116</v>
      </c>
    </row>
    <row r="9" spans="1:5" s="38" customFormat="1" ht="15.6" x14ac:dyDescent="0.3">
      <c r="A9" s="76" t="s">
        <v>51</v>
      </c>
      <c r="B9" s="80">
        <v>8311170776085</v>
      </c>
      <c r="C9" s="76"/>
      <c r="D9" s="77" t="s">
        <v>22</v>
      </c>
      <c r="E9" s="77" t="s">
        <v>116</v>
      </c>
    </row>
    <row r="10" spans="1:5" s="38" customFormat="1" ht="15.6" x14ac:dyDescent="0.3">
      <c r="A10" s="76" t="s">
        <v>52</v>
      </c>
      <c r="B10" s="80">
        <v>9503010642084</v>
      </c>
      <c r="C10" s="76"/>
      <c r="D10" s="77" t="s">
        <v>22</v>
      </c>
      <c r="E10" s="77" t="s">
        <v>116</v>
      </c>
    </row>
    <row r="11" spans="1:5" s="38" customFormat="1" ht="15.6" x14ac:dyDescent="0.3">
      <c r="A11" s="76" t="s">
        <v>53</v>
      </c>
      <c r="B11" s="80">
        <v>9805131078084</v>
      </c>
      <c r="C11" s="76"/>
      <c r="D11" s="77" t="s">
        <v>22</v>
      </c>
      <c r="E11" s="77" t="s">
        <v>116</v>
      </c>
    </row>
    <row r="12" spans="1:5" s="38" customFormat="1" ht="15.6" x14ac:dyDescent="0.3">
      <c r="A12" s="76" t="s">
        <v>54</v>
      </c>
      <c r="B12" s="80">
        <v>9809260260083</v>
      </c>
      <c r="C12" s="76"/>
      <c r="D12" s="77" t="s">
        <v>22</v>
      </c>
      <c r="E12" s="77" t="s">
        <v>116</v>
      </c>
    </row>
    <row r="13" spans="1:5" s="38" customFormat="1" ht="15.6" x14ac:dyDescent="0.3">
      <c r="A13" s="76" t="s">
        <v>67</v>
      </c>
      <c r="B13" s="80">
        <v>8306205458089</v>
      </c>
      <c r="C13" s="76"/>
      <c r="D13" s="78" t="s">
        <v>19</v>
      </c>
      <c r="E13" s="77" t="s">
        <v>115</v>
      </c>
    </row>
    <row r="14" spans="1:5" s="38" customFormat="1" ht="15.6" x14ac:dyDescent="0.3">
      <c r="A14" s="76" t="s">
        <v>68</v>
      </c>
      <c r="B14" s="80">
        <v>7408140901081</v>
      </c>
      <c r="C14" s="76"/>
      <c r="D14" s="78" t="s">
        <v>19</v>
      </c>
      <c r="E14" s="77" t="s">
        <v>116</v>
      </c>
    </row>
    <row r="15" spans="1:5" s="38" customFormat="1" ht="15.6" x14ac:dyDescent="0.3">
      <c r="A15" s="76" t="s">
        <v>69</v>
      </c>
      <c r="B15" s="80">
        <v>7501016014086</v>
      </c>
      <c r="C15" s="76"/>
      <c r="D15" s="78" t="s">
        <v>19</v>
      </c>
      <c r="E15" s="77" t="s">
        <v>116</v>
      </c>
    </row>
    <row r="16" spans="1:5" s="38" customFormat="1" ht="15.6" x14ac:dyDescent="0.3">
      <c r="A16" s="76" t="s">
        <v>70</v>
      </c>
      <c r="B16" s="80">
        <v>9102240807086</v>
      </c>
      <c r="C16" s="76"/>
      <c r="D16" s="78" t="s">
        <v>19</v>
      </c>
      <c r="E16" s="77" t="s">
        <v>116</v>
      </c>
    </row>
    <row r="17" spans="1:5" s="38" customFormat="1" ht="15.6" x14ac:dyDescent="0.3">
      <c r="A17" s="76" t="s">
        <v>111</v>
      </c>
      <c r="B17" s="80">
        <v>9303120727085</v>
      </c>
      <c r="C17" s="76"/>
      <c r="D17" s="78" t="s">
        <v>19</v>
      </c>
      <c r="E17" s="77" t="s">
        <v>116</v>
      </c>
    </row>
    <row r="18" spans="1:5" s="38" customFormat="1" ht="15.6" x14ac:dyDescent="0.3">
      <c r="A18" s="76" t="s">
        <v>114</v>
      </c>
      <c r="B18" s="80">
        <v>8304120840085</v>
      </c>
      <c r="C18" s="76"/>
      <c r="D18" s="78" t="s">
        <v>19</v>
      </c>
      <c r="E18" s="77" t="s">
        <v>115</v>
      </c>
    </row>
    <row r="19" spans="1:5" s="38" customFormat="1" ht="15.6" x14ac:dyDescent="0.3">
      <c r="A19" s="76" t="s">
        <v>105</v>
      </c>
      <c r="B19" s="80">
        <v>5406280281084</v>
      </c>
      <c r="C19" s="76"/>
      <c r="D19" s="78" t="s">
        <v>147</v>
      </c>
      <c r="E19" s="78" t="s">
        <v>115</v>
      </c>
    </row>
    <row r="20" spans="1:5" s="38" customFormat="1" ht="15.6" x14ac:dyDescent="0.3">
      <c r="A20" s="76" t="s">
        <v>106</v>
      </c>
      <c r="B20" s="80">
        <v>8205280984086</v>
      </c>
      <c r="C20" s="76"/>
      <c r="D20" s="78" t="s">
        <v>147</v>
      </c>
      <c r="E20" s="78" t="s">
        <v>116</v>
      </c>
    </row>
    <row r="21" spans="1:5" s="38" customFormat="1" ht="15.6" x14ac:dyDescent="0.3">
      <c r="A21" s="76" t="s">
        <v>102</v>
      </c>
      <c r="B21" s="80">
        <v>9108130888086</v>
      </c>
      <c r="C21" s="76"/>
      <c r="D21" s="78" t="s">
        <v>147</v>
      </c>
      <c r="E21" s="78" t="s">
        <v>116</v>
      </c>
    </row>
    <row r="22" spans="1:5" s="38" customFormat="1" ht="15.6" x14ac:dyDescent="0.3">
      <c r="A22" s="76" t="s">
        <v>103</v>
      </c>
      <c r="B22" s="80">
        <v>9301041285084</v>
      </c>
      <c r="C22" s="76"/>
      <c r="D22" s="78" t="s">
        <v>100</v>
      </c>
      <c r="E22" s="78" t="s">
        <v>115</v>
      </c>
    </row>
    <row r="23" spans="1:5" s="38" customFormat="1" ht="15.6" x14ac:dyDescent="0.3">
      <c r="A23" s="76" t="s">
        <v>104</v>
      </c>
      <c r="B23" s="80">
        <v>8912010983086</v>
      </c>
      <c r="C23" s="76"/>
      <c r="D23" s="78" t="s">
        <v>101</v>
      </c>
      <c r="E23" s="78" t="s">
        <v>116</v>
      </c>
    </row>
    <row r="24" spans="1:5" s="38" customFormat="1" ht="15.6" x14ac:dyDescent="0.3">
      <c r="A24" s="76" t="s">
        <v>89</v>
      </c>
      <c r="B24" s="80">
        <v>8501040441080</v>
      </c>
      <c r="C24" s="76"/>
      <c r="D24" s="78" t="s">
        <v>88</v>
      </c>
      <c r="E24" s="78" t="s">
        <v>116</v>
      </c>
    </row>
    <row r="25" spans="1:5" s="38" customFormat="1" ht="15.6" x14ac:dyDescent="0.3">
      <c r="A25" s="76" t="s">
        <v>90</v>
      </c>
      <c r="B25" s="80">
        <v>9209181281088</v>
      </c>
      <c r="C25" s="76"/>
      <c r="D25" s="78" t="s">
        <v>88</v>
      </c>
      <c r="E25" s="78" t="s">
        <v>116</v>
      </c>
    </row>
    <row r="26" spans="1:5" s="38" customFormat="1" ht="15.6" x14ac:dyDescent="0.3">
      <c r="A26" s="76" t="s">
        <v>91</v>
      </c>
      <c r="B26" s="80">
        <v>8212160764083</v>
      </c>
      <c r="C26" s="76"/>
      <c r="D26" s="78" t="s">
        <v>88</v>
      </c>
      <c r="E26" s="78" t="s">
        <v>115</v>
      </c>
    </row>
    <row r="27" spans="1:5" s="38" customFormat="1" ht="15.6" x14ac:dyDescent="0.3">
      <c r="A27" s="76" t="s">
        <v>92</v>
      </c>
      <c r="B27" s="80">
        <v>8108201236083</v>
      </c>
      <c r="C27" s="76"/>
      <c r="D27" s="78" t="s">
        <v>88</v>
      </c>
      <c r="E27" s="79" t="s">
        <v>116</v>
      </c>
    </row>
    <row r="28" spans="1:5" s="38" customFormat="1" ht="15.6" x14ac:dyDescent="0.3">
      <c r="A28" s="76" t="s">
        <v>93</v>
      </c>
      <c r="B28" s="80">
        <v>7201190649084</v>
      </c>
      <c r="C28" s="76"/>
      <c r="D28" s="78" t="s">
        <v>88</v>
      </c>
      <c r="E28" s="79" t="s">
        <v>116</v>
      </c>
    </row>
    <row r="29" spans="1:5" s="38" customFormat="1" ht="15.6" x14ac:dyDescent="0.3">
      <c r="A29" s="76" t="s">
        <v>94</v>
      </c>
      <c r="B29" s="80" t="s">
        <v>107</v>
      </c>
      <c r="C29" s="76"/>
      <c r="D29" s="78" t="s">
        <v>88</v>
      </c>
      <c r="E29" s="79" t="s">
        <v>116</v>
      </c>
    </row>
    <row r="30" spans="1:5" s="38" customFormat="1" ht="15.6" x14ac:dyDescent="0.3">
      <c r="A30" s="76" t="s">
        <v>95</v>
      </c>
      <c r="B30" s="80">
        <v>8203060594084</v>
      </c>
      <c r="C30" s="76"/>
      <c r="D30" s="78" t="s">
        <v>88</v>
      </c>
      <c r="E30" s="78" t="s">
        <v>116</v>
      </c>
    </row>
    <row r="31" spans="1:5" s="38" customFormat="1" ht="15.6" x14ac:dyDescent="0.3">
      <c r="A31" s="76" t="s">
        <v>96</v>
      </c>
      <c r="B31" s="80">
        <v>8709101729083</v>
      </c>
      <c r="C31" s="76"/>
      <c r="D31" s="78" t="s">
        <v>88</v>
      </c>
      <c r="E31" s="78" t="s">
        <v>116</v>
      </c>
    </row>
    <row r="32" spans="1:5" s="38" customFormat="1" ht="15.6" x14ac:dyDescent="0.3">
      <c r="A32" s="76" t="s">
        <v>97</v>
      </c>
      <c r="B32" s="80">
        <v>8607161064088</v>
      </c>
      <c r="C32" s="76"/>
      <c r="D32" s="78" t="s">
        <v>88</v>
      </c>
      <c r="E32" s="78" t="s">
        <v>115</v>
      </c>
    </row>
    <row r="33" spans="1:5" s="38" customFormat="1" ht="15.6" x14ac:dyDescent="0.3">
      <c r="A33" s="76" t="s">
        <v>98</v>
      </c>
      <c r="B33" s="80">
        <v>96090991239088</v>
      </c>
      <c r="C33" s="76"/>
      <c r="D33" s="78" t="s">
        <v>88</v>
      </c>
      <c r="E33" s="78" t="s">
        <v>116</v>
      </c>
    </row>
    <row r="34" spans="1:5" s="38" customFormat="1" ht="15.6" x14ac:dyDescent="0.3">
      <c r="A34" s="76" t="s">
        <v>99</v>
      </c>
      <c r="B34" s="80">
        <v>7311020432088</v>
      </c>
      <c r="C34" s="76"/>
      <c r="D34" s="78" t="s">
        <v>88</v>
      </c>
      <c r="E34" s="78" t="s">
        <v>115</v>
      </c>
    </row>
    <row r="35" spans="1:5" s="38" customFormat="1" ht="15.6" x14ac:dyDescent="0.3">
      <c r="A35" s="76" t="s">
        <v>79</v>
      </c>
      <c r="B35" s="80">
        <v>9208251142089</v>
      </c>
      <c r="C35" s="76"/>
      <c r="D35" s="78" t="s">
        <v>78</v>
      </c>
      <c r="E35" s="78" t="s">
        <v>116</v>
      </c>
    </row>
    <row r="36" spans="1:5" s="38" customFormat="1" ht="15.6" x14ac:dyDescent="0.3">
      <c r="A36" s="76" t="s">
        <v>80</v>
      </c>
      <c r="B36" s="80">
        <v>8705245844085</v>
      </c>
      <c r="C36" s="76"/>
      <c r="D36" s="78" t="s">
        <v>78</v>
      </c>
      <c r="E36" s="78" t="s">
        <v>116</v>
      </c>
    </row>
    <row r="37" spans="1:5" s="38" customFormat="1" ht="15.6" x14ac:dyDescent="0.3">
      <c r="A37" s="76" t="s">
        <v>72</v>
      </c>
      <c r="B37" s="80">
        <v>7304041326082</v>
      </c>
      <c r="C37" s="76"/>
      <c r="D37" s="78" t="s">
        <v>71</v>
      </c>
      <c r="E37" s="78" t="s">
        <v>116</v>
      </c>
    </row>
    <row r="38" spans="1:5" s="38" customFormat="1" ht="15.6" x14ac:dyDescent="0.3">
      <c r="A38" s="76" t="s">
        <v>73</v>
      </c>
      <c r="B38" s="80">
        <v>9703270988082</v>
      </c>
      <c r="C38" s="76"/>
      <c r="D38" s="78" t="s">
        <v>71</v>
      </c>
      <c r="E38" s="78" t="s">
        <v>116</v>
      </c>
    </row>
    <row r="39" spans="1:5" s="38" customFormat="1" ht="15.6" x14ac:dyDescent="0.3">
      <c r="A39" s="76" t="s">
        <v>74</v>
      </c>
      <c r="B39" s="80">
        <v>9111191057088</v>
      </c>
      <c r="C39" s="76"/>
      <c r="D39" s="78" t="s">
        <v>71</v>
      </c>
      <c r="E39" s="78" t="s">
        <v>116</v>
      </c>
    </row>
    <row r="40" spans="1:5" s="38" customFormat="1" ht="15.6" x14ac:dyDescent="0.3">
      <c r="A40" s="76" t="s">
        <v>75</v>
      </c>
      <c r="B40" s="80">
        <v>8107300402083</v>
      </c>
      <c r="C40" s="76"/>
      <c r="D40" s="78" t="s">
        <v>71</v>
      </c>
      <c r="E40" s="78" t="s">
        <v>116</v>
      </c>
    </row>
    <row r="41" spans="1:5" s="38" customFormat="1" ht="15.6" x14ac:dyDescent="0.3">
      <c r="A41" s="76" t="s">
        <v>76</v>
      </c>
      <c r="B41" s="80">
        <v>8506131200089</v>
      </c>
      <c r="C41" s="76"/>
      <c r="D41" s="78" t="s">
        <v>71</v>
      </c>
      <c r="E41" s="78" t="s">
        <v>115</v>
      </c>
    </row>
    <row r="42" spans="1:5" s="38" customFormat="1" ht="15.6" x14ac:dyDescent="0.3">
      <c r="A42" s="76" t="s">
        <v>77</v>
      </c>
      <c r="B42" s="80">
        <v>9408060764087</v>
      </c>
      <c r="C42" s="76"/>
      <c r="D42" s="78" t="s">
        <v>71</v>
      </c>
      <c r="E42" s="78" t="s">
        <v>116</v>
      </c>
    </row>
    <row r="43" spans="1:5" s="38" customFormat="1" ht="15.6" x14ac:dyDescent="0.3">
      <c r="A43" s="76" t="s">
        <v>109</v>
      </c>
      <c r="B43" s="80">
        <v>8807150575082</v>
      </c>
      <c r="C43" s="76"/>
      <c r="D43" s="78" t="s">
        <v>71</v>
      </c>
      <c r="E43" s="78" t="s">
        <v>116</v>
      </c>
    </row>
    <row r="44" spans="1:5" s="38" customFormat="1" ht="15.6" x14ac:dyDescent="0.3">
      <c r="A44" s="76" t="s">
        <v>63</v>
      </c>
      <c r="B44" s="80">
        <v>9307190984088</v>
      </c>
      <c r="C44" s="76"/>
      <c r="D44" s="78" t="s">
        <v>66</v>
      </c>
      <c r="E44" s="78" t="s">
        <v>116</v>
      </c>
    </row>
    <row r="45" spans="1:5" s="38" customFormat="1" ht="15.6" x14ac:dyDescent="0.3">
      <c r="A45" s="76" t="s">
        <v>64</v>
      </c>
      <c r="B45" s="80">
        <v>9601076110085</v>
      </c>
      <c r="C45" s="76"/>
      <c r="D45" s="78" t="s">
        <v>66</v>
      </c>
      <c r="E45" s="78" t="s">
        <v>116</v>
      </c>
    </row>
    <row r="46" spans="1:5" s="38" customFormat="1" ht="15.6" x14ac:dyDescent="0.3">
      <c r="A46" s="76" t="s">
        <v>65</v>
      </c>
      <c r="B46" s="80">
        <v>8908061065088</v>
      </c>
      <c r="C46" s="76"/>
      <c r="D46" s="78" t="s">
        <v>66</v>
      </c>
      <c r="E46" s="78" t="s">
        <v>116</v>
      </c>
    </row>
    <row r="47" spans="1:5" s="38" customFormat="1" ht="15.6" x14ac:dyDescent="0.3">
      <c r="A47" s="76" t="s">
        <v>62</v>
      </c>
      <c r="B47" s="80">
        <v>8110281089085</v>
      </c>
      <c r="C47" s="76"/>
      <c r="D47" s="77" t="s">
        <v>61</v>
      </c>
      <c r="E47" s="78" t="s">
        <v>116</v>
      </c>
    </row>
    <row r="48" spans="1:5" s="38" customFormat="1" ht="15.6" x14ac:dyDescent="0.3">
      <c r="A48" s="76" t="s">
        <v>108</v>
      </c>
      <c r="B48" s="80">
        <v>7205105207086</v>
      </c>
      <c r="C48" s="76"/>
      <c r="D48" s="78" t="s">
        <v>61</v>
      </c>
      <c r="E48" s="78" t="s">
        <v>116</v>
      </c>
    </row>
    <row r="49" spans="1:5" s="38" customFormat="1" ht="15.6" x14ac:dyDescent="0.3">
      <c r="A49" s="76" t="s">
        <v>55</v>
      </c>
      <c r="B49" s="80">
        <v>7406040339089</v>
      </c>
      <c r="C49" s="76"/>
      <c r="D49" s="77" t="s">
        <v>60</v>
      </c>
      <c r="E49" s="78" t="s">
        <v>116</v>
      </c>
    </row>
    <row r="50" spans="1:5" s="38" customFormat="1" ht="15.6" x14ac:dyDescent="0.3">
      <c r="A50" s="76" t="s">
        <v>56</v>
      </c>
      <c r="B50" s="80">
        <v>8606060763089</v>
      </c>
      <c r="C50" s="76"/>
      <c r="D50" s="77" t="s">
        <v>60</v>
      </c>
      <c r="E50" s="78" t="s">
        <v>116</v>
      </c>
    </row>
    <row r="51" spans="1:5" s="38" customFormat="1" ht="15.6" x14ac:dyDescent="0.3">
      <c r="A51" s="76" t="s">
        <v>57</v>
      </c>
      <c r="B51" s="80">
        <v>8212166424088</v>
      </c>
      <c r="C51" s="76"/>
      <c r="D51" s="77" t="s">
        <v>60</v>
      </c>
      <c r="E51" s="78" t="s">
        <v>116</v>
      </c>
    </row>
    <row r="52" spans="1:5" s="38" customFormat="1" ht="15.6" x14ac:dyDescent="0.3">
      <c r="A52" s="76" t="s">
        <v>58</v>
      </c>
      <c r="B52" s="80">
        <v>7102026505088</v>
      </c>
      <c r="C52" s="76"/>
      <c r="D52" s="77" t="s">
        <v>60</v>
      </c>
      <c r="E52" s="78" t="s">
        <v>116</v>
      </c>
    </row>
    <row r="53" spans="1:5" s="38" customFormat="1" ht="15.6" x14ac:dyDescent="0.3">
      <c r="A53" s="76" t="s">
        <v>59</v>
      </c>
      <c r="B53" s="80">
        <v>8501200776085</v>
      </c>
      <c r="C53" s="76"/>
      <c r="D53" s="77" t="s">
        <v>60</v>
      </c>
      <c r="E53" s="78" t="s">
        <v>116</v>
      </c>
    </row>
    <row r="54" spans="1:5" s="38" customFormat="1" ht="15.6" x14ac:dyDescent="0.3">
      <c r="A54" s="76" t="s">
        <v>110</v>
      </c>
      <c r="B54" s="80">
        <v>6911035614082</v>
      </c>
      <c r="C54" s="76"/>
      <c r="D54" s="78" t="s">
        <v>60</v>
      </c>
      <c r="E54" s="78" t="s">
        <v>115</v>
      </c>
    </row>
    <row r="55" spans="1:5" s="38" customFormat="1" ht="15.6" x14ac:dyDescent="0.3">
      <c r="A55" s="76" t="s">
        <v>112</v>
      </c>
      <c r="B55" s="80">
        <v>7101066063088</v>
      </c>
      <c r="C55" s="76"/>
      <c r="D55" s="78" t="s">
        <v>60</v>
      </c>
      <c r="E55" s="78" t="s">
        <v>116</v>
      </c>
    </row>
    <row r="56" spans="1:5" s="38" customFormat="1" ht="15.6" x14ac:dyDescent="0.3">
      <c r="A56" s="76" t="s">
        <v>81</v>
      </c>
      <c r="B56" s="80">
        <v>8410251019082</v>
      </c>
      <c r="C56" s="76"/>
      <c r="D56" s="78" t="s">
        <v>21</v>
      </c>
      <c r="E56" s="78" t="s">
        <v>116</v>
      </c>
    </row>
    <row r="57" spans="1:5" s="38" customFormat="1" ht="15.6" x14ac:dyDescent="0.3">
      <c r="A57" s="76" t="s">
        <v>82</v>
      </c>
      <c r="B57" s="80">
        <v>8503301044082</v>
      </c>
      <c r="C57" s="76"/>
      <c r="D57" s="78" t="s">
        <v>21</v>
      </c>
      <c r="E57" s="78" t="s">
        <v>115</v>
      </c>
    </row>
    <row r="58" spans="1:5" s="38" customFormat="1" ht="15.6" x14ac:dyDescent="0.3">
      <c r="A58" s="76" t="s">
        <v>83</v>
      </c>
      <c r="B58" s="80">
        <v>9012310999087</v>
      </c>
      <c r="C58" s="76"/>
      <c r="D58" s="78" t="s">
        <v>21</v>
      </c>
      <c r="E58" s="78" t="s">
        <v>116</v>
      </c>
    </row>
    <row r="59" spans="1:5" s="38" customFormat="1" ht="15.6" x14ac:dyDescent="0.3">
      <c r="A59" s="76" t="s">
        <v>84</v>
      </c>
      <c r="B59" s="80">
        <v>7406300600089</v>
      </c>
      <c r="C59" s="76"/>
      <c r="D59" s="78" t="s">
        <v>21</v>
      </c>
      <c r="E59" s="78" t="s">
        <v>116</v>
      </c>
    </row>
    <row r="60" spans="1:5" s="38" customFormat="1" ht="15.6" x14ac:dyDescent="0.3">
      <c r="A60" s="76" t="s">
        <v>85</v>
      </c>
      <c r="B60" s="80">
        <v>9711265641087</v>
      </c>
      <c r="C60" s="76"/>
      <c r="D60" s="78" t="s">
        <v>21</v>
      </c>
      <c r="E60" s="78" t="s">
        <v>116</v>
      </c>
    </row>
    <row r="61" spans="1:5" s="38" customFormat="1" ht="15.6" x14ac:dyDescent="0.3">
      <c r="A61" s="76" t="s">
        <v>86</v>
      </c>
      <c r="B61" s="80">
        <v>8108045950089</v>
      </c>
      <c r="C61" s="76"/>
      <c r="D61" s="78" t="s">
        <v>21</v>
      </c>
      <c r="E61" s="78" t="s">
        <v>116</v>
      </c>
    </row>
    <row r="62" spans="1:5" s="38" customFormat="1" ht="15.6" x14ac:dyDescent="0.3">
      <c r="A62" s="76" t="s">
        <v>87</v>
      </c>
      <c r="B62" s="80">
        <v>9201196003086</v>
      </c>
      <c r="C62" s="76"/>
      <c r="D62" s="78" t="s">
        <v>21</v>
      </c>
      <c r="E62" s="78" t="s">
        <v>116</v>
      </c>
    </row>
    <row r="63" spans="1:5" s="38" customFormat="1" ht="15.6" x14ac:dyDescent="0.3">
      <c r="A63" s="76" t="s">
        <v>113</v>
      </c>
      <c r="B63" s="80">
        <v>9212140363088</v>
      </c>
      <c r="C63" s="76"/>
      <c r="D63" s="78" t="s">
        <v>21</v>
      </c>
      <c r="E63" s="78" t="s">
        <v>116</v>
      </c>
    </row>
    <row r="64" spans="1:5" ht="14.4" x14ac:dyDescent="0.3">
      <c r="A64" s="76"/>
      <c r="B64" s="76"/>
      <c r="C64" s="76"/>
      <c r="D64" s="78"/>
      <c r="E64" s="78"/>
    </row>
    <row r="65" spans="1:5" x14ac:dyDescent="0.25">
      <c r="A65" s="24" t="s">
        <v>143</v>
      </c>
      <c r="B65" s="24"/>
      <c r="C65" s="24"/>
      <c r="D65" s="131" t="s">
        <v>33</v>
      </c>
      <c r="E65" s="131"/>
    </row>
    <row r="66" spans="1:5" ht="32.4" customHeight="1" x14ac:dyDescent="0.25">
      <c r="A66" s="95" t="e" vm="1">
        <v>#VALUE!</v>
      </c>
      <c r="B66" s="95"/>
      <c r="C66" s="14"/>
      <c r="D66" s="95"/>
      <c r="E66" s="95"/>
    </row>
    <row r="67" spans="1:5" x14ac:dyDescent="0.25">
      <c r="A67" s="14" t="s">
        <v>144</v>
      </c>
      <c r="B67" s="14"/>
      <c r="C67" s="14"/>
      <c r="D67" s="130" t="s">
        <v>144</v>
      </c>
      <c r="E67" s="130"/>
    </row>
    <row r="68" spans="1:5" ht="27" customHeight="1" x14ac:dyDescent="0.25">
      <c r="A68" s="134">
        <v>46107</v>
      </c>
      <c r="B68" s="134"/>
      <c r="C68" s="70"/>
      <c r="D68" s="104"/>
      <c r="E68" s="104"/>
    </row>
    <row r="69" spans="1:5" x14ac:dyDescent="0.25">
      <c r="A69" s="24" t="s">
        <v>134</v>
      </c>
      <c r="B69" s="24"/>
      <c r="C69" s="24"/>
      <c r="D69" s="131" t="s">
        <v>134</v>
      </c>
      <c r="E69" s="131"/>
    </row>
    <row r="70" spans="1:5" x14ac:dyDescent="0.25">
      <c r="A70" s="24"/>
      <c r="B70" s="24"/>
      <c r="C70" s="24"/>
      <c r="D70" s="24"/>
      <c r="E70" s="24"/>
    </row>
  </sheetData>
  <sortState xmlns:xlrd2="http://schemas.microsoft.com/office/spreadsheetml/2017/richdata2" ref="A4:D63">
    <sortCondition ref="D4:D63"/>
  </sortState>
  <mergeCells count="9">
    <mergeCell ref="A1:C1"/>
    <mergeCell ref="D1:E1"/>
    <mergeCell ref="D68:E68"/>
    <mergeCell ref="D69:E69"/>
    <mergeCell ref="A68:B68"/>
    <mergeCell ref="A66:B66"/>
    <mergeCell ref="D65:E65"/>
    <mergeCell ref="D66:E66"/>
    <mergeCell ref="D67:E67"/>
  </mergeCells>
  <phoneticPr fontId="11" type="noConversion"/>
  <pageMargins left="0.7" right="0.7" top="1.542" bottom="0.75" header="0.3" footer="0.3"/>
  <pageSetup paperSize="9" scale="80" fitToHeight="0" orientation="portrait" r:id="rId1"/>
  <headerFooter>
    <oddHeader>&amp;L&amp;"-,Bold"&amp;22TAX INVOICE&amp;10
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1" manualBreakCount="1">
    <brk id="34" max="4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7A508E1-F889-4FB4-81BC-717A64C59A25}">
  <ds:schemaRefs>
    <ds:schemaRef ds:uri="f62d4ef4-b04a-4b31-a502-7b4d1ae74549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3e1fb217-3513-4a84-b39a-87d8fab7c42d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6784D25-4DC5-41F4-B290-495E06B10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Invoice — Region 2</vt:lpstr>
      <vt:lpstr>Service Notes</vt:lpstr>
      <vt:lpstr>Clearning Schedule</vt:lpstr>
      <vt:lpstr>EPWP Employees</vt:lpstr>
      <vt:lpstr>'Clearning Schedule'!Print_Area</vt:lpstr>
      <vt:lpstr>'EPWP Employees'!Print_Area</vt:lpstr>
      <vt:lpstr>'Invoice — Region 2'!Print_Area</vt:lpstr>
      <vt:lpstr>'Service Notes'!Print_Area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Accounts</cp:lastModifiedBy>
  <cp:revision/>
  <cp:lastPrinted>2026-04-20T06:36:09Z</cp:lastPrinted>
  <dcterms:created xsi:type="dcterms:W3CDTF">2015-06-05T18:17:20Z</dcterms:created>
  <dcterms:modified xsi:type="dcterms:W3CDTF">2026-04-23T13:01:18Z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