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sithembe.sharepoint.com/sites/accounting9/Shared Documents/02 - Projects/01 Invoices/01 STP/04 April/03 - HS 02 2025-26/10 Old/"/>
    </mc:Choice>
  </mc:AlternateContent>
  <xr:revisionPtr revIDLastSave="1811" documentId="8_{65C3188A-7AAC-46B3-8E26-6C3ADEBF530F}" xr6:coauthVersionLast="47" xr6:coauthVersionMax="47" xr10:uidLastSave="{73806A8E-F407-4682-AF61-4A195A4644CA}"/>
  <bookViews>
    <workbookView xWindow="-96" yWindow="0" windowWidth="11712" windowHeight="12336" tabRatio="870" activeTab="3" xr2:uid="{00000000-000D-0000-FFFF-FFFF00000000}"/>
  </bookViews>
  <sheets>
    <sheet name="Invoice — Region 2" sheetId="14" r:id="rId1"/>
    <sheet name="Service Notes" sheetId="23" r:id="rId2"/>
    <sheet name="Attendance Register" sheetId="27" r:id="rId3"/>
    <sheet name="EPWP Employees" sheetId="26" r:id="rId4"/>
    <sheet name="Toilet Co-ordinates" sheetId="28" r:id="rId5"/>
  </sheets>
  <definedNames>
    <definedName name="_xlnm.Print_Area" localSheetId="2">'Attendance Register'!$A$1:$L$64</definedName>
    <definedName name="_xlnm.Print_Area" localSheetId="3">'EPWP Employees'!$A$1:$E$72</definedName>
    <definedName name="_xlnm.Print_Area" localSheetId="0">'Invoice — Region 2'!$A$1:$K$57</definedName>
    <definedName name="_xlnm.Print_Area" localSheetId="1">'Service Notes'!$A$1:$AH$51</definedName>
    <definedName name="_xlnm.Print_Area" localSheetId="4">'Toilet Co-ordinates'!$A$1:$O$183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4" i="23" l="1"/>
  <c r="I32" i="14" s="1"/>
  <c r="AH23" i="23"/>
  <c r="AH22" i="23"/>
  <c r="AH25" i="23"/>
  <c r="I33" i="14" s="1"/>
  <c r="I31" i="14"/>
  <c r="I30" i="14"/>
  <c r="AH21" i="23"/>
  <c r="AH20" i="23"/>
  <c r="AH19" i="23"/>
  <c r="AH18" i="23"/>
  <c r="AH17" i="23"/>
  <c r="I25" i="14" s="1"/>
  <c r="AH16" i="23"/>
  <c r="AH15" i="23"/>
  <c r="AH14" i="23"/>
  <c r="I22" i="14" s="1"/>
  <c r="AH13" i="23"/>
  <c r="I21" i="14" s="1"/>
  <c r="I29" i="14"/>
  <c r="I27" i="14"/>
  <c r="I26" i="14"/>
  <c r="I28" i="14"/>
  <c r="I23" i="14"/>
  <c r="I24" i="14"/>
  <c r="B26" i="27"/>
  <c r="I8" i="27"/>
  <c r="I7" i="27"/>
  <c r="AC8" i="23"/>
  <c r="AC7" i="23"/>
  <c r="AC3" i="23"/>
  <c r="B10" i="27"/>
  <c r="A10" i="27"/>
  <c r="A13" i="27"/>
  <c r="B13" i="27"/>
  <c r="A14" i="27"/>
  <c r="B14" i="27"/>
  <c r="A15" i="27"/>
  <c r="B15" i="27"/>
  <c r="A16" i="27"/>
  <c r="B16" i="27"/>
  <c r="A17" i="27"/>
  <c r="B17" i="27"/>
  <c r="A18" i="27"/>
  <c r="B18" i="27"/>
  <c r="A19" i="27"/>
  <c r="B19" i="27"/>
  <c r="A20" i="27"/>
  <c r="B20" i="27"/>
  <c r="A21" i="27"/>
  <c r="B21" i="27"/>
  <c r="A22" i="27"/>
  <c r="B22" i="27"/>
  <c r="A23" i="27"/>
  <c r="B23" i="27"/>
  <c r="A24" i="27"/>
  <c r="B24" i="27"/>
  <c r="A25" i="27"/>
  <c r="B25" i="27"/>
  <c r="A26" i="27"/>
  <c r="A27" i="27"/>
  <c r="B27" i="27"/>
  <c r="A28" i="27"/>
  <c r="B28" i="27"/>
  <c r="A29" i="27"/>
  <c r="B29" i="27"/>
  <c r="A30" i="27"/>
  <c r="B30" i="27"/>
  <c r="A31" i="27"/>
  <c r="B31" i="27"/>
  <c r="A32" i="27"/>
  <c r="B32" i="27"/>
  <c r="A33" i="27"/>
  <c r="B33" i="27"/>
  <c r="A34" i="27"/>
  <c r="B34" i="27"/>
  <c r="A35" i="27"/>
  <c r="B35" i="27"/>
  <c r="A36" i="27"/>
  <c r="B36" i="27"/>
  <c r="A37" i="27"/>
  <c r="B37" i="27"/>
  <c r="A38" i="27"/>
  <c r="B38" i="27"/>
  <c r="A39" i="27"/>
  <c r="B39" i="27"/>
  <c r="A40" i="27"/>
  <c r="B40" i="27"/>
  <c r="A41" i="27"/>
  <c r="B41" i="27"/>
  <c r="A42" i="27"/>
  <c r="B42" i="27"/>
  <c r="A43" i="27"/>
  <c r="B43" i="27"/>
  <c r="A44" i="27"/>
  <c r="B44" i="27"/>
  <c r="A45" i="27"/>
  <c r="B45" i="27"/>
  <c r="A46" i="27"/>
  <c r="B46" i="27"/>
  <c r="A47" i="27"/>
  <c r="B47" i="27"/>
  <c r="A48" i="27"/>
  <c r="B48" i="27"/>
  <c r="A49" i="27"/>
  <c r="B49" i="27"/>
  <c r="A50" i="27"/>
  <c r="B50" i="27"/>
  <c r="A51" i="27"/>
  <c r="B51" i="27"/>
  <c r="A52" i="27"/>
  <c r="B52" i="27"/>
  <c r="A53" i="27"/>
  <c r="B53" i="27"/>
  <c r="A54" i="27"/>
  <c r="B54" i="27"/>
  <c r="A55" i="27"/>
  <c r="B55" i="27"/>
  <c r="A56" i="27"/>
  <c r="B56" i="27"/>
  <c r="B12" i="27"/>
  <c r="A12" i="27"/>
  <c r="L23" i="27"/>
  <c r="L24" i="27"/>
  <c r="L25" i="27"/>
  <c r="L26" i="27"/>
  <c r="L27" i="27"/>
  <c r="L28" i="27"/>
  <c r="L29" i="27"/>
  <c r="L30" i="27"/>
  <c r="L31" i="27"/>
  <c r="L32" i="27"/>
  <c r="L33" i="27"/>
  <c r="L34" i="27"/>
  <c r="L35" i="27"/>
  <c r="L36" i="27"/>
  <c r="L37" i="27"/>
  <c r="L38" i="27"/>
  <c r="L39" i="27"/>
  <c r="L49" i="27"/>
  <c r="L50" i="27"/>
  <c r="L51" i="27"/>
  <c r="L52" i="27"/>
  <c r="L53" i="27"/>
  <c r="L54" i="27"/>
  <c r="L55" i="27"/>
  <c r="L56" i="27"/>
  <c r="D11" i="27"/>
  <c r="E11" i="27"/>
  <c r="F11" i="27"/>
  <c r="G11" i="27"/>
  <c r="H11" i="27"/>
  <c r="I11" i="27"/>
  <c r="J11" i="27"/>
  <c r="K11" i="27"/>
  <c r="C11" i="27"/>
  <c r="L42" i="27"/>
  <c r="L43" i="27"/>
  <c r="L44" i="27"/>
  <c r="L45" i="27"/>
  <c r="L46" i="27"/>
  <c r="L47" i="27"/>
  <c r="L48" i="27"/>
  <c r="L41" i="27"/>
  <c r="L40" i="27"/>
  <c r="L22" i="27"/>
  <c r="L21" i="27"/>
  <c r="L20" i="27"/>
  <c r="L19" i="27"/>
  <c r="L18" i="27"/>
  <c r="L17" i="27"/>
  <c r="L16" i="27"/>
  <c r="L15" i="27"/>
  <c r="L14" i="27"/>
  <c r="L13" i="27"/>
  <c r="L12" i="27"/>
  <c r="I3" i="27"/>
  <c r="A14" i="23"/>
  <c r="A15" i="23"/>
  <c r="A16" i="23"/>
  <c r="A17" i="23"/>
  <c r="A18" i="23"/>
  <c r="A19" i="23"/>
  <c r="A20" i="23"/>
  <c r="A21" i="23"/>
  <c r="A22" i="23"/>
  <c r="A23" i="23"/>
  <c r="A24" i="23"/>
  <c r="A25" i="23"/>
  <c r="A13" i="23"/>
  <c r="E37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21" i="14"/>
  <c r="D37" i="14"/>
  <c r="K4" i="14"/>
  <c r="J35" i="14"/>
  <c r="H35" i="14"/>
  <c r="G35" i="14"/>
  <c r="K34" i="14"/>
  <c r="J34" i="14"/>
  <c r="H34" i="14"/>
  <c r="G34" i="14"/>
  <c r="AC4" i="23" l="1"/>
  <c r="K5" i="14"/>
  <c r="AC5" i="23" s="1"/>
  <c r="K6" i="14"/>
  <c r="I4" i="27"/>
  <c r="F37" i="14"/>
  <c r="A49" i="14"/>
  <c r="H33" i="14" l="1"/>
  <c r="AC6" i="23"/>
  <c r="I5" i="27"/>
  <c r="A63" i="27"/>
  <c r="I6" i="27"/>
  <c r="A43" i="23"/>
  <c r="H21" i="14"/>
  <c r="H22" i="14"/>
  <c r="H26" i="14"/>
  <c r="H25" i="14"/>
  <c r="H29" i="14"/>
  <c r="H30" i="14"/>
  <c r="H31" i="14"/>
  <c r="H23" i="14"/>
  <c r="H24" i="14"/>
  <c r="H27" i="14"/>
  <c r="H28" i="14"/>
  <c r="H32" i="14"/>
  <c r="G26" i="14"/>
  <c r="G25" i="14"/>
  <c r="G23" i="14"/>
  <c r="G22" i="14"/>
  <c r="G33" i="14"/>
  <c r="G24" i="14"/>
  <c r="G27" i="14"/>
  <c r="G32" i="14"/>
  <c r="G29" i="14"/>
  <c r="G31" i="14"/>
  <c r="G28" i="14"/>
  <c r="G30" i="14"/>
  <c r="G21" i="14"/>
  <c r="H37" i="14" l="1"/>
  <c r="J21" i="14" l="1"/>
  <c r="K21" i="14" s="1"/>
  <c r="J22" i="14"/>
  <c r="K22" i="14" s="1"/>
  <c r="J23" i="14" l="1"/>
  <c r="K23" i="14" s="1"/>
  <c r="J24" i="14" l="1"/>
  <c r="K24" i="14" s="1"/>
  <c r="J25" i="14" l="1"/>
  <c r="K25" i="14" s="1"/>
  <c r="J26" i="14" l="1"/>
  <c r="K26" i="14" l="1"/>
  <c r="J27" i="14"/>
  <c r="J28" i="14" l="1"/>
  <c r="K28" i="14" s="1"/>
  <c r="K27" i="14"/>
  <c r="J29" i="14" l="1"/>
  <c r="K29" i="14" l="1"/>
  <c r="J30" i="14"/>
  <c r="J31" i="14" l="1"/>
  <c r="K31" i="14" s="1"/>
  <c r="K30" i="14"/>
  <c r="J33" i="14" l="1"/>
  <c r="K33" i="14" s="1"/>
  <c r="J32" i="14"/>
  <c r="J37" i="14" l="1"/>
  <c r="K37" i="14" s="1"/>
  <c r="K38" i="14" s="1"/>
  <c r="K39" i="14" s="1"/>
  <c r="K32" i="14"/>
  <c r="L37" i="14" s="1"/>
</calcChain>
</file>

<file path=xl/sharedStrings.xml><?xml version="1.0" encoding="utf-8"?>
<sst xmlns="http://schemas.openxmlformats.org/spreadsheetml/2006/main" count="1218" uniqueCount="566">
  <si>
    <t>Date:</t>
  </si>
  <si>
    <t>Signature:</t>
  </si>
  <si>
    <t>Tel: 012 880 3155  |  Cell: 073 124 1535  |  Fax: 086 603 7935</t>
  </si>
  <si>
    <t>Invoice Date:</t>
  </si>
  <si>
    <t>Service Period:</t>
  </si>
  <si>
    <t>PO Number:</t>
  </si>
  <si>
    <t>Tax Invoice No:</t>
  </si>
  <si>
    <t>BILL TO:</t>
  </si>
  <si>
    <t>City of Tshwane Metropolitan Municipality</t>
  </si>
  <si>
    <t>Region:</t>
  </si>
  <si>
    <t>Region 2</t>
  </si>
  <si>
    <t>Days in Period:</t>
  </si>
  <si>
    <t>Isivuno House, 330 Madiba Street</t>
  </si>
  <si>
    <t>Hire Rate (excl VAT):</t>
  </si>
  <si>
    <t>#</t>
  </si>
  <si>
    <t>Ward
No</t>
  </si>
  <si>
    <t>Qty
(Units)</t>
  </si>
  <si>
    <t>Days in
Period</t>
  </si>
  <si>
    <t>Rental Amount
(excl VAT)</t>
  </si>
  <si>
    <t>No of
Services</t>
  </si>
  <si>
    <t>Service Amount
(excl VAT)</t>
  </si>
  <si>
    <t>Themba View</t>
  </si>
  <si>
    <t>Marokolong</t>
  </si>
  <si>
    <t>Hammanskraal Ext 4</t>
  </si>
  <si>
    <t>Hammanskraal portion 9 &amp; 10</t>
  </si>
  <si>
    <t>Soshanguve X Buffer C</t>
  </si>
  <si>
    <t>Soshanguve X Buffer D</t>
  </si>
  <si>
    <t>Soshanguve X Buffer Civcon</t>
  </si>
  <si>
    <t>Dali Mpofu</t>
  </si>
  <si>
    <t>Stinkwater</t>
  </si>
  <si>
    <t>Stinkwater Ext 10</t>
  </si>
  <si>
    <t>Chris Hani</t>
  </si>
  <si>
    <t>Phomolong Phase 1</t>
  </si>
  <si>
    <t>Greenfield Ext 14 (Lefika)</t>
  </si>
  <si>
    <t>BANKING DETAILS</t>
  </si>
  <si>
    <t>Ms. Thokozile Maluka</t>
  </si>
  <si>
    <t>VAT @ 15%</t>
  </si>
  <si>
    <t>SERVICE</t>
  </si>
  <si>
    <t>SUB TOTALS</t>
  </si>
  <si>
    <t>TOWNSHIP / INFORMAL SETTLEMENT</t>
  </si>
  <si>
    <t>Account Holder: Sithembe Transportation and Projects (Pty) Ltd</t>
  </si>
  <si>
    <t>Bank: Nedbank Limited</t>
  </si>
  <si>
    <t>Account No: 1323687157</t>
  </si>
  <si>
    <t>Branch Code: 198765</t>
  </si>
  <si>
    <t>Service Provider Signature:</t>
  </si>
  <si>
    <t>City of Tshwane Official:</t>
  </si>
  <si>
    <t>Reg No: 2013/029173/07 |  www.sithembe.co.za</t>
  </si>
  <si>
    <t>SITHEMBE TRANSPORTATION &amp; PROJECTS</t>
  </si>
  <si>
    <t>Project Manager</t>
  </si>
  <si>
    <t>Service Rate (excl VAT):</t>
  </si>
  <si>
    <t>Sub Totals</t>
  </si>
  <si>
    <t>Gross Total</t>
  </si>
  <si>
    <t>Human Settlements &amp; Operations and Coordination Deptment</t>
  </si>
  <si>
    <t>PO Box 440, Pretoria, 0001</t>
  </si>
  <si>
    <t>Email: accounts@sithembe.co.za  |  info@sithembe.co.za</t>
  </si>
  <si>
    <r>
      <t xml:space="preserve">VAT No: </t>
    </r>
    <r>
      <rPr>
        <b/>
        <sz val="8"/>
        <color rgb="FF7F8C8D"/>
        <rFont val="Arial"/>
        <family val="2"/>
      </rPr>
      <t>4000142267</t>
    </r>
    <r>
      <rPr>
        <sz val="8"/>
        <color rgb="FF7F8C8D"/>
        <rFont val="Arial"/>
        <family val="2"/>
      </rPr>
      <t xml:space="preserve"> | Vendor No: </t>
    </r>
    <r>
      <rPr>
        <b/>
        <sz val="8"/>
        <color rgb="FF7F8C8D"/>
        <rFont val="Arial"/>
        <family val="2"/>
      </rPr>
      <t>101776</t>
    </r>
  </si>
  <si>
    <t xml:space="preserve">Contract Ref: HHS 02-2021/22 </t>
  </si>
  <si>
    <t>Toilet Relocation</t>
  </si>
  <si>
    <t>Relocation Rate (excl VAT)</t>
  </si>
  <si>
    <t>Relocation Amount (excl VAT)</t>
  </si>
  <si>
    <t>RENTALS &amp; RELOCATIONS</t>
  </si>
  <si>
    <t>LOCATION</t>
  </si>
  <si>
    <t>TOTAL</t>
  </si>
  <si>
    <t>Project Manager: Ms. Thokozile Maluka</t>
  </si>
  <si>
    <t>FULLNAME</t>
  </si>
  <si>
    <t>ID NUMBER</t>
  </si>
  <si>
    <t>POSITION</t>
  </si>
  <si>
    <t>EPWP Employee List</t>
  </si>
  <si>
    <t>Attendance Register</t>
  </si>
  <si>
    <t>Tax Invoice</t>
  </si>
  <si>
    <t>Service Notes</t>
  </si>
  <si>
    <t>CO-ORDINATES</t>
  </si>
  <si>
    <t>Toilet Co-ordinates</t>
  </si>
  <si>
    <t>T No</t>
  </si>
  <si>
    <t>WALLMANSTHAL</t>
  </si>
  <si>
    <t>1-300</t>
  </si>
  <si>
    <t>301-600</t>
  </si>
  <si>
    <t>25°34'15.4"S 28°19'37.1"E</t>
  </si>
  <si>
    <t>25°34'02.4"S 28°19'39.7"E</t>
  </si>
  <si>
    <t>25°33'38.8"S 28°19'36.3"E</t>
  </si>
  <si>
    <t>25°34'01.6"S 28°19'34.0"E</t>
  </si>
  <si>
    <t>25°34'04.0"S 28°19'23.6"E</t>
  </si>
  <si>
    <t>25°34'31.4"S 28°19'14.7"E</t>
  </si>
  <si>
    <t>25°34'21.2"S 28°19'29.5"E</t>
  </si>
  <si>
    <t>25°33'51.6"S 28°18'56.4"E</t>
  </si>
  <si>
    <t>25°33'48.9"S 28°18'53.8"E</t>
  </si>
  <si>
    <t>25°33'45.5"S 28°18'56.3"E</t>
  </si>
  <si>
    <t>25°33'43.1"S 28°18'57.3"E</t>
  </si>
  <si>
    <t>25°33'40.2"S 28°19'01.0"E</t>
  </si>
  <si>
    <t>25°33'37.3"S 28°19'02.8"E</t>
  </si>
  <si>
    <t>25°33'45.4"S 28°19'06.2"E</t>
  </si>
  <si>
    <t>25°33'43.0"S 28°19'08.0"E</t>
  </si>
  <si>
    <t>25°33'52.8"S 28°19'01.4"E</t>
  </si>
  <si>
    <t>25°33'55.1"S 28°19'03.7"E</t>
  </si>
  <si>
    <t>25°33'53.4"S 28°19'06.6"E</t>
  </si>
  <si>
    <t>25°33'52.6"S 28°19'06.9"E</t>
  </si>
  <si>
    <t>25°33'47.2"S 28°19'14.1"E</t>
  </si>
  <si>
    <t>25°33'46.8"S 28°19'17.0"E</t>
  </si>
  <si>
    <t>PHOMOLONG PHASE1</t>
  </si>
  <si>
    <t>25°24'08.4"S 28°12'48.6"E</t>
  </si>
  <si>
    <t>25°24'16.4"S 28°13'10.5"E</t>
  </si>
  <si>
    <t>25°24'20.0"S 28°13'09.0"E</t>
  </si>
  <si>
    <t>25°24'12.0"S 28°13'15.3"E</t>
  </si>
  <si>
    <t>25°24'21.9"S 28°13'12.9"E</t>
  </si>
  <si>
    <t>25°24'28.6"S 28°13'12.6"E</t>
  </si>
  <si>
    <t>25°24'23.4"S 28°13'14.1"E</t>
  </si>
  <si>
    <t>25°24'25.2"S 28°13'15.5"E</t>
  </si>
  <si>
    <t>25°24'23.6"S 28°13'15.7"E</t>
  </si>
  <si>
    <t>25°24'19.2"S 28°13'15.1"E</t>
  </si>
  <si>
    <t>25°24'13.9"S 28°13'21.1"E</t>
  </si>
  <si>
    <t>25°24'17.0"S 28°13'20.9"E</t>
  </si>
  <si>
    <t>25°24'13.4"S 28°13'22.6"E</t>
  </si>
  <si>
    <t>25°24'12.4"S 28°13'23.9"E</t>
  </si>
  <si>
    <t>25°24'15.4"S 28°13'28.0"E</t>
  </si>
  <si>
    <t>25°24'14.3"S 28°13'40.4"E</t>
  </si>
  <si>
    <t>25°24'08.3"S 28°13'43.5"E</t>
  </si>
  <si>
    <t>25°24'02.5"S 28°13'42.4"E</t>
  </si>
  <si>
    <t>25°24'11.5"S 28°13'40.7"E</t>
  </si>
  <si>
    <t>25°24'11.6"S 28°13'40.6"E</t>
  </si>
  <si>
    <t>25°24'02.9"S 28°13'40.1"E</t>
  </si>
  <si>
    <t>25°24'01.3"S 28°13'40.5"E</t>
  </si>
  <si>
    <t>25°23'49.0"S 28°13'39.2"E</t>
  </si>
  <si>
    <t>25°24'07.6"S 28°13'38.7"E</t>
  </si>
  <si>
    <t>25°24'09.4"S 28°13'37.7"E</t>
  </si>
  <si>
    <t>25°24'07.0"S 28°13'34.3"E</t>
  </si>
  <si>
    <t>25°24'07.0"S 28°13'32.2"E</t>
  </si>
  <si>
    <t>25°24'04.8"S 28°13'35.7"E</t>
  </si>
  <si>
    <t>25°24'03.3"S 28°13'35.7"E</t>
  </si>
  <si>
    <t>25°24'00.9"S 28°13'35.7"E</t>
  </si>
  <si>
    <t>25°23'54.2"S 28°13'39.4"E</t>
  </si>
  <si>
    <t>25°23'51.5"S 28°13'34.1"E</t>
  </si>
  <si>
    <t>25°23'57.7"S 28°13'32.4"E</t>
  </si>
  <si>
    <t>25°24'03.1"S 28°13'29.6"E</t>
  </si>
  <si>
    <t>25°24'10.2"S 28°13'29.5"E</t>
  </si>
  <si>
    <t>25°24'04.1"S 28°13'28.6"E</t>
  </si>
  <si>
    <t>25°23'59.2"S 28°13'27.4"E</t>
  </si>
  <si>
    <t>25°23'56.8"S 28°13'29.7"E</t>
  </si>
  <si>
    <t>25°23'56.7"S 28°13'29.6"E</t>
  </si>
  <si>
    <t>25°23'53.0"S 28°13'32.7"E</t>
  </si>
  <si>
    <t>25°23'52.6"S 28°13'34.5"E</t>
  </si>
  <si>
    <t>25°23'44.5"S 28°13'28.3"E</t>
  </si>
  <si>
    <t>25°23'46.1"S 28°13'26.3"E</t>
  </si>
  <si>
    <t>25°23'56.2"S 28°13'21.1"E</t>
  </si>
  <si>
    <t>25°23'58.0"S 28°13'21.0"E</t>
  </si>
  <si>
    <t>25°23'58.6"S 28°13'15.2"E</t>
  </si>
  <si>
    <t>25°24'03.3"S 28°13'23.1"E</t>
  </si>
  <si>
    <t xml:space="preserve">HAMMANSKRAAL EXT 4 </t>
  </si>
  <si>
    <t>HAMMANSKRAAL EXT 4</t>
  </si>
  <si>
    <t>25°24'42.1"S 28°13'36.4"E</t>
  </si>
  <si>
    <t>25°24'46.4"S 28°13'37.6"E</t>
  </si>
  <si>
    <t>25°24'45.0"S 28°13'34.4"E</t>
  </si>
  <si>
    <t>25°24'43.9"S 28°13'26.4"E</t>
  </si>
  <si>
    <t>25°24'43.1"S 28°13'23.3"E</t>
  </si>
  <si>
    <t>25°24'42.3"S 28°13'20.2"E</t>
  </si>
  <si>
    <t>25°24'40.9"S 28°13'20.3"E</t>
  </si>
  <si>
    <t>25°24'42.6"S 28°13'29.1"E</t>
  </si>
  <si>
    <t>25°24'42.7"S 28°13'29.1"E</t>
  </si>
  <si>
    <t>25°24'42.3"S 28°13'29.2"E</t>
  </si>
  <si>
    <t>25°24'39.8"S 28°13'23.8"E</t>
  </si>
  <si>
    <t>25°24'39.5"S 28°13'21.9"E</t>
  </si>
  <si>
    <t>25°24'37.6"S 28°13'21.2"E</t>
  </si>
  <si>
    <t>25°24'37.7"S 28°13'21.3"E</t>
  </si>
  <si>
    <t>25°24'37.4"S 28°13'29.5"E</t>
  </si>
  <si>
    <t>25°24'36.9"S 28°13'27.2"E</t>
  </si>
  <si>
    <t>25°24'36.0"S 28°13'22.5"E</t>
  </si>
  <si>
    <t>25°24'35.7"S 28°13'21.8"E</t>
  </si>
  <si>
    <t>25°24'35.3"S 28°13'21.6"E</t>
  </si>
  <si>
    <t>25°24'34.9"S 28°13'25.2"E</t>
  </si>
  <si>
    <t>25°24'35.1"S 28°13'26.6"E</t>
  </si>
  <si>
    <t>25°24'35.3"S 28°13'28.0"E</t>
  </si>
  <si>
    <t>25°24'33.5"S 28°13'29.8"E</t>
  </si>
  <si>
    <t>25°24'25.0"S 28°13'27.9"E</t>
  </si>
  <si>
    <t>25°24'27.3"S 28°13'24.1"E</t>
  </si>
  <si>
    <t>25°24'33.7"S 28°13'20.5"E</t>
  </si>
  <si>
    <t>25°24'34.2"S 28°13'20.6"E</t>
  </si>
  <si>
    <t>25°24'38.5"S 28°13'19.8"E</t>
  </si>
  <si>
    <t>25°24'40.2"S 28°13'19.1"E</t>
  </si>
  <si>
    <t>25°24'36.2"S 28°13'20.2"E</t>
  </si>
  <si>
    <t>GREENFIELDS (LEFIKA CAMP</t>
  </si>
  <si>
    <t>25°24'13.7"S 28°14'44.4"E</t>
  </si>
  <si>
    <t>25°24'12.9"S 28°14'43.3"E</t>
  </si>
  <si>
    <t>25°24'14.4"S 28°14'42.2"E</t>
  </si>
  <si>
    <t>25°24'14.6"S 28°14'44.8"E</t>
  </si>
  <si>
    <t>25°24'15.2"S 28°14'44.3"E</t>
  </si>
  <si>
    <t>25°24'15.2"S 28°14'44.1"E</t>
  </si>
  <si>
    <t>25°24'15.2"S 28°14'44.0"E</t>
  </si>
  <si>
    <t>25°24'16.9"S 28°14'41.9"E</t>
  </si>
  <si>
    <t>25°24'17.0"S 28°14'41.9"E</t>
  </si>
  <si>
    <t>25°24'21.8"S 28°14'34.1"E</t>
  </si>
  <si>
    <t>25°24'23.5"S 28°14'33.7"E</t>
  </si>
  <si>
    <t>HAMMANSKRAAL PORTION 9&amp; 10</t>
  </si>
  <si>
    <t>25°25'05.3"S 28°14'42.1"E</t>
  </si>
  <si>
    <t>25°25'06.0"S 28°14'41.7"E</t>
  </si>
  <si>
    <t>25°25'10.4"S 28°14'34.5"E</t>
  </si>
  <si>
    <t>25°25'13.5"S 28°14'38.6"E</t>
  </si>
  <si>
    <t>25°25'15.0"S 28°14'35.1"E</t>
  </si>
  <si>
    <t>25°25'14.9"S 28°14'34.3"E</t>
  </si>
  <si>
    <t>25°25'14.2"S 28°14'31.6"E</t>
  </si>
  <si>
    <t>25°25'13.7"S 28°14'29.4"E</t>
  </si>
  <si>
    <t>25°25'11.3"S 28°14'28.5"E</t>
  </si>
  <si>
    <t>25°25'12.6"S 28°14'32.5"E</t>
  </si>
  <si>
    <t>25°25'12.6"S 28°14'33.6"E</t>
  </si>
  <si>
    <t>25°25'09.8"S 28°14'28.8"E</t>
  </si>
  <si>
    <t>25°25'08.7"S 28°14'31.2"E</t>
  </si>
  <si>
    <t>25°25'09.2"S 28°14'33.8"E</t>
  </si>
  <si>
    <t>25°25'08.3"S 28°14'37.9"E</t>
  </si>
  <si>
    <t>25°25'07.7"S 28°14'34.9"E</t>
  </si>
  <si>
    <t>25°25'06.7"S 28°14'32.4"E</t>
  </si>
  <si>
    <t>25°25'04.2"S 28°14'32.0"E</t>
  </si>
  <si>
    <t>25°25'04.2"S 28°14'32.1"E</t>
  </si>
  <si>
    <t>25°25'05.8"S 28°14'34.2"E</t>
  </si>
  <si>
    <t>25°25'05.2"S 28°14'32.8"E</t>
  </si>
  <si>
    <t>25°25'05.2"S 28°14'39.6"E</t>
  </si>
  <si>
    <t>25°25'04.7"S 28°14'37.4"E</t>
  </si>
  <si>
    <t>25°25'04.7"S 28°14'37.3"E</t>
  </si>
  <si>
    <t>25°25'04.7"S 28°14'37.2"E</t>
  </si>
  <si>
    <t>25°25'03.3"S 28°14'31.9"E</t>
  </si>
  <si>
    <t>25°25'02.9"S 28°14'30.9"E</t>
  </si>
  <si>
    <t>25°25'03.1"S 28°14'26.1"E</t>
  </si>
  <si>
    <t>25°25'04.5"S 28°14'29.7"E</t>
  </si>
  <si>
    <t>25°25'07.1"S 28°14'29.1"E</t>
  </si>
  <si>
    <t>25°25'04.2"S 28°14'23.7"E</t>
  </si>
  <si>
    <t>25°24'56.8"S 28°14'23.1"E</t>
  </si>
  <si>
    <t>HAMMANSKRAAL PORTION 9&amp;10</t>
  </si>
  <si>
    <t>25°25'04.1"S 28°14'23.6"E</t>
  </si>
  <si>
    <t>25°25'01.3"S 28°14'24.9"E</t>
  </si>
  <si>
    <t>25°25'00.4"S 28°14'21.8"E</t>
  </si>
  <si>
    <t>25°25'04.0"S 28°14'23.9"E</t>
  </si>
  <si>
    <t>25°25'01.6"S 28°14'19.1"E</t>
  </si>
  <si>
    <t>25°24'56.6"S 28°14'23.0"E</t>
  </si>
  <si>
    <t>25°25'03.2"S 28°14'20.9"E</t>
  </si>
  <si>
    <t>25°25'00.1"S 28°14'17.9"E</t>
  </si>
  <si>
    <t>25°24'58.5"S 28°14'14.2"E</t>
  </si>
  <si>
    <t>25°24'58.3"S 28°14'13.2"E</t>
  </si>
  <si>
    <t>25°24'58.3"S 28°14'12.6"E</t>
  </si>
  <si>
    <t>25°24'57.6"S 28°14'09.4"E</t>
  </si>
  <si>
    <t>25°24'59.9"S 28°14'13.3"E</t>
  </si>
  <si>
    <t>25°25'00.7"S 28°14'16.5"E</t>
  </si>
  <si>
    <t>25°25'00.8"S 28°14'17.5"E</t>
  </si>
  <si>
    <t>25°25'01.2"S 28°14'17.6"E</t>
  </si>
  <si>
    <t>25°25'01.8"S 28°14'17.4"E</t>
  </si>
  <si>
    <t>25°25'01.5"S 28°14'12.6"E</t>
  </si>
  <si>
    <t>25°25'01.0"S 28°14'05.3"E</t>
  </si>
  <si>
    <t>25°25'01.1"S 28°14'04.7"E</t>
  </si>
  <si>
    <t>25°25'00.8"S 28°14'03.0"E</t>
  </si>
  <si>
    <t>25°25'00.0"S 28°13'59.2"E</t>
  </si>
  <si>
    <t>25°24'58.4"S 28°14'01.6"E</t>
  </si>
  <si>
    <t>25°24'59.8"S 28°14'05.9"E</t>
  </si>
  <si>
    <t>25°24'57.9"S 28°14'05.0"E</t>
  </si>
  <si>
    <t>25°24'57.9"S 28°14'04.9"E</t>
  </si>
  <si>
    <t>25°24'56.2"S 28°13'58.3"E</t>
  </si>
  <si>
    <t>25°24'56.7"S 28°13'56.7"E</t>
  </si>
  <si>
    <t>25°24'57.6"S 28°13'57.6"E</t>
  </si>
  <si>
    <t>25°24'54.0"S 28°13'55.7"E</t>
  </si>
  <si>
    <t>25°24'54.4"S 28°13'54.2"E</t>
  </si>
  <si>
    <t>25°24'56.3"S 28°13'54.2"E</t>
  </si>
  <si>
    <t>25°25'04.9"S 28°13'55.9"E</t>
  </si>
  <si>
    <t>25°25'05.9"S 28°13'57.8"E</t>
  </si>
  <si>
    <t>25°25'05.8"S 28°13'59.0"E</t>
  </si>
  <si>
    <t>25°25'06.2"S 28°14'00.4"E</t>
  </si>
  <si>
    <t>25°25'06.0"S 28°14'00.6"E</t>
  </si>
  <si>
    <t>25°25'03.9"S 28°14'01.4"E</t>
  </si>
  <si>
    <t>25°25'02.1"S 28°14'03.0"E</t>
  </si>
  <si>
    <t>25°25'06.7"S 28°14'05.4"E</t>
  </si>
  <si>
    <t>25°25'05.4"S 28°14'06.0"E</t>
  </si>
  <si>
    <t>25°25'06.3"S 28°14'05.9"E</t>
  </si>
  <si>
    <t>25°25'06.0"S 28°14'06.2"E</t>
  </si>
  <si>
    <t>25°25'05.5"S 28°14'07.0"E</t>
  </si>
  <si>
    <t>25°25'01.7"S 28°14'07.4"E</t>
  </si>
  <si>
    <t>25°25'02.1"S 28°14'08.9"E</t>
  </si>
  <si>
    <t>25°25'02.6"S 28°14'10.2"E</t>
  </si>
  <si>
    <t>25°25'05.7"S 28°14'09.4"E</t>
  </si>
  <si>
    <t>25°25'06.9"S 28°14'09.1"E</t>
  </si>
  <si>
    <t>25°25'02.9"S 28°14'12.7"E</t>
  </si>
  <si>
    <t>25°25'03.5"S 28°14'15.0"E</t>
  </si>
  <si>
    <t>25°25'03.7"S 28°14'15.4"E</t>
  </si>
  <si>
    <t>25°25'04.9"S 28°14'20.0"E</t>
  </si>
  <si>
    <t>25°25'06.1"S 28°14'24.7"E</t>
  </si>
  <si>
    <t>25°25'04.2"S 28°14'16.9"E</t>
  </si>
  <si>
    <t>25°25'04.5"S 28°14'16.3"E</t>
  </si>
  <si>
    <t>25°25'07.9"S 28°14'15.2"E</t>
  </si>
  <si>
    <t>25°25'09.2"S 28°14'15.2"E</t>
  </si>
  <si>
    <t>25°25'09.6"S 28°14'16.2"E</t>
  </si>
  <si>
    <t>25°25'05.9"S 28°14'18.9"E</t>
  </si>
  <si>
    <t>25°25'08.2"S 28°14'18.4"E</t>
  </si>
  <si>
    <t>25°25'09.6"S 28°14'19.6"E</t>
  </si>
  <si>
    <t>25°25'07.3"S 28°14'20.7"E</t>
  </si>
  <si>
    <t>25°21'46.9"S 28°15'15.2"E</t>
  </si>
  <si>
    <t>25°21'44.5"S 28°15'13.4"E</t>
  </si>
  <si>
    <t>25°21'44.5"S 28°15'13.3"E</t>
  </si>
  <si>
    <t>25°21'47.9"S 28°15'13.2"E</t>
  </si>
  <si>
    <t>25°21'48.9"S 28°15'15.9"E</t>
  </si>
  <si>
    <t>25°21'50.1"S 28°15'17.6"E</t>
  </si>
  <si>
    <t>MAROKOLONG</t>
  </si>
  <si>
    <t>25°22'34.4"S 28°17'33.0"E</t>
  </si>
  <si>
    <t>25°22'35.6"S 28°17'28.6"E</t>
  </si>
  <si>
    <t>MOROKOLONG</t>
  </si>
  <si>
    <t>25°22'37.5"S 28°17'27.1"E</t>
  </si>
  <si>
    <t>25°22'35.1"S 28°17'19.5"E</t>
  </si>
  <si>
    <t>25°22'29.3"S 28°17'24.2"E</t>
  </si>
  <si>
    <t>25°22'29.2"S 28°17'24.7"E</t>
  </si>
  <si>
    <t>25°22'28.2"S 28°17'25.5"E</t>
  </si>
  <si>
    <t>25°22'29.5"S 28°17'25.7"E</t>
  </si>
  <si>
    <t>25°22'36.9"S 28°17'31.5"E</t>
  </si>
  <si>
    <t>STINKWATER EXT 10</t>
  </si>
  <si>
    <t>25°23'33.2"S 28°10'14.6"E</t>
  </si>
  <si>
    <t>25°23'25.8"S 28°09'59.9"E</t>
  </si>
  <si>
    <t>25°23'25.1"S 28°09'56.5"E</t>
  </si>
  <si>
    <t>25°23'24.8"S 28°09'55.1"E</t>
  </si>
  <si>
    <t>25°23'24.5"S 28°09'54.8"E</t>
  </si>
  <si>
    <t>25°23'22.8"S 28°09'55.4"E</t>
  </si>
  <si>
    <t>25°23'23.9"S 28°09'56.8"E</t>
  </si>
  <si>
    <t>25°23'23.8"S 28°09'58.2"E</t>
  </si>
  <si>
    <t>25°23'24.1"S 28°09'59.2"E</t>
  </si>
  <si>
    <t>25°23'24.2"S 28°09'59.4"E</t>
  </si>
  <si>
    <t>25°23'23.3"S 28°09'59.9"E</t>
  </si>
  <si>
    <t>25°23'23.2"S 28°09'59.7"E</t>
  </si>
  <si>
    <t>25°23'21.6"S 28°09'56.1"E</t>
  </si>
  <si>
    <t>25°23'19.4"S 28°09'56.4"E</t>
  </si>
  <si>
    <t>25°23'18.3"S 28°09'56.5"E</t>
  </si>
  <si>
    <t>25°23'19.5"S 28°09'57.6"E</t>
  </si>
  <si>
    <t>25°23'21.7"S 28°09'57.3"E</t>
  </si>
  <si>
    <t>25°23'22.0"S 28°09'57.7"E</t>
  </si>
  <si>
    <t>25°23'21.9"S 28°09'57.9"E</t>
  </si>
  <si>
    <t>25°23'18.8"S 28°10'00.1"E</t>
  </si>
  <si>
    <t>25°23'18.8"S 28°10'01.0"E</t>
  </si>
  <si>
    <t>25°23'20.7"S 28°10'00.9"E</t>
  </si>
  <si>
    <t>25°23'20.8"S 28°10'00.9"E</t>
  </si>
  <si>
    <t>25°23'20.9"S 28°10'00.9"E</t>
  </si>
  <si>
    <t>25°23'22.0"S 28°10'02.4"E</t>
  </si>
  <si>
    <t>25°23'20.4"S 28°10'02.8"E</t>
  </si>
  <si>
    <t>25°23'20.4"S 28°10'02.9"E</t>
  </si>
  <si>
    <t>25°23'19.0"S 28°10'05.3"E</t>
  </si>
  <si>
    <t>25°23'17.7"S 28°10'03.5"E</t>
  </si>
  <si>
    <t>25°23'15.9"S 28°10'04.8"E</t>
  </si>
  <si>
    <t>25°23'17.1"S 28°10'01.6"E</t>
  </si>
  <si>
    <t>25°23'16.9"S 28°10'00.2"E</t>
  </si>
  <si>
    <t>25°23'15.2"S 28°10'00.1"E</t>
  </si>
  <si>
    <t>25°23'17.0"S 28°10'05.8"E</t>
  </si>
  <si>
    <t>25°23'24.1"S 28°10'03.6"E</t>
  </si>
  <si>
    <t>25°23'24.3"S 28°10'03.5"E</t>
  </si>
  <si>
    <t>25°23'24.2"S 28°10'03.5"E</t>
  </si>
  <si>
    <t>25°23'25.3"S 28°10'09.2"E</t>
  </si>
  <si>
    <t>25°23'24.2"S 28°10'07.5"E</t>
  </si>
  <si>
    <t>25°23'22.1"S 28°10'06.0"E</t>
  </si>
  <si>
    <t>25°23'18.2"S 28°10'07.5"E</t>
  </si>
  <si>
    <t>25°23'18.7"S 28°10'10.8"E</t>
  </si>
  <si>
    <t>25°23'21.8"S 28°10'07.8"E</t>
  </si>
  <si>
    <t>25°23'19.9"S 28°10'06.8"E</t>
  </si>
  <si>
    <t>25°23'21.4"S 28°10'08.0"E</t>
  </si>
  <si>
    <t>25°23'20.1"S 28°10'10.0"E</t>
  </si>
  <si>
    <t>25°23'23.2"S 28°10'10.8"E</t>
  </si>
  <si>
    <t>25°23'33.2"S 28°10'14.5"E</t>
  </si>
  <si>
    <t>25°23'21.1"S 28°10'13.4"E</t>
  </si>
  <si>
    <t>25°23'23.4"S 28°10'18.6"E</t>
  </si>
  <si>
    <t>25°23'16.0"S 28°10'25.7"E</t>
  </si>
  <si>
    <t>25°23'20.9"S 28°10'21.4"E</t>
  </si>
  <si>
    <t>25°23'21.8"S 28°10'16.6"E</t>
  </si>
  <si>
    <t>25°23'22.2"S 28°10'14.9"E</t>
  </si>
  <si>
    <t>25°23'19.8"S 28°10'16.2"E</t>
  </si>
  <si>
    <t>Phuti Kololo</t>
  </si>
  <si>
    <t>Angelina Nomsa Ndlela</t>
  </si>
  <si>
    <t>Sbongile Josephine Vilakazi</t>
  </si>
  <si>
    <t>Pop Johannes Sebaiwa</t>
  </si>
  <si>
    <t>Sebakiswe Florah Makala</t>
  </si>
  <si>
    <t>Tiny Johanna Pine</t>
  </si>
  <si>
    <t>Gomolemo Ndlovu</t>
  </si>
  <si>
    <t>Ntsako Kubai</t>
  </si>
  <si>
    <t>Dorcas Marutlolle</t>
  </si>
  <si>
    <t>9305225537087</t>
  </si>
  <si>
    <t>6806201263088</t>
  </si>
  <si>
    <t>7509221121083</t>
  </si>
  <si>
    <t>8202015595089</t>
  </si>
  <si>
    <t>8003051321087</t>
  </si>
  <si>
    <t>8311170776085</t>
  </si>
  <si>
    <t>9503010642084</t>
  </si>
  <si>
    <t>9805131078084</t>
  </si>
  <si>
    <t>9809260260083</t>
  </si>
  <si>
    <t>Rebecca Violet Kubeka</t>
  </si>
  <si>
    <t>Olivia Kateko Khoza</t>
  </si>
  <si>
    <t>Lepatla Goodwill Ngoetjana</t>
  </si>
  <si>
    <t>Jabulani Martin Kubeka</t>
  </si>
  <si>
    <t>Sindile Prudence Maimogole</t>
  </si>
  <si>
    <t>7406040339089</t>
  </si>
  <si>
    <t>8606060763089</t>
  </si>
  <si>
    <t>8212166424088</t>
  </si>
  <si>
    <t>7102026505088</t>
  </si>
  <si>
    <t>8501200776085</t>
  </si>
  <si>
    <t>Soshanguve X - Buffer D</t>
  </si>
  <si>
    <t>Soshanguve X - Buffer Civcon</t>
  </si>
  <si>
    <t>Seipati Anna Makgethe</t>
  </si>
  <si>
    <t>Lebogang Tlou</t>
  </si>
  <si>
    <t>Dovhani Mulaudzi</t>
  </si>
  <si>
    <t>Sibongile Mkoko</t>
  </si>
  <si>
    <t>9307190984088</t>
  </si>
  <si>
    <t>9601076110085</t>
  </si>
  <si>
    <t>8908061065088</t>
  </si>
  <si>
    <t>8110281089085</t>
  </si>
  <si>
    <t>Soshanguve X - Buffer C</t>
  </si>
  <si>
    <t>Karabo Ramalepe</t>
  </si>
  <si>
    <t>Sindy Klein</t>
  </si>
  <si>
    <t>Matome  Mahasha</t>
  </si>
  <si>
    <t>Thandeka Radebe</t>
  </si>
  <si>
    <t>Phomolong (Phase 1)</t>
  </si>
  <si>
    <t>Mavis Ratlhagane</t>
  </si>
  <si>
    <t>Tsholofelo Selinah Mogoto</t>
  </si>
  <si>
    <t>Nono Pauline Moima</t>
  </si>
  <si>
    <t>Lindiwe Prudence Mahlangu</t>
  </si>
  <si>
    <t>Elsie Makganana Mabasu</t>
  </si>
  <si>
    <t xml:space="preserve"> Phenki Mmatlwa</t>
  </si>
  <si>
    <t>7304041326082</t>
  </si>
  <si>
    <t>9703270988082</t>
  </si>
  <si>
    <t>9111191057088</t>
  </si>
  <si>
    <t>8107300402083</t>
  </si>
  <si>
    <t>8506131200089</t>
  </si>
  <si>
    <t>9408060764087</t>
  </si>
  <si>
    <t>Morokolong/ Marokolong</t>
  </si>
  <si>
    <t>9208251142089</t>
  </si>
  <si>
    <t>8705245844085</t>
  </si>
  <si>
    <t>Martha Maluleke</t>
  </si>
  <si>
    <t>George Mlambo</t>
  </si>
  <si>
    <t>Phinah Itumeleng Sekhaolelo</t>
  </si>
  <si>
    <t>Anna Dipuo Ndlovu</t>
  </si>
  <si>
    <t>Bridget Maila</t>
  </si>
  <si>
    <t>Esther Chauke</t>
  </si>
  <si>
    <t>Thato Austin Moja</t>
  </si>
  <si>
    <t>Gabezwane Charles Mahlangu</t>
  </si>
  <si>
    <t>Tsholofelo Michael Tshehlo</t>
  </si>
  <si>
    <t>Hammaskraal Portion 9 &amp; 10</t>
  </si>
  <si>
    <t>Margaret Mosoma</t>
  </si>
  <si>
    <t>Keamogetswe Ntshane</t>
  </si>
  <si>
    <t>Rebecca Mashigo</t>
  </si>
  <si>
    <t xml:space="preserve"> Johanna Mthombeni</t>
  </si>
  <si>
    <t>Martha Tshabalala</t>
  </si>
  <si>
    <t>Flora Shongwane</t>
  </si>
  <si>
    <t>Stella Baloyi</t>
  </si>
  <si>
    <t>Sibongile Mashiloane</t>
  </si>
  <si>
    <t>Alphinah Sebatjane</t>
  </si>
  <si>
    <t>Koketso Morudu</t>
  </si>
  <si>
    <t>Patronell Paries</t>
  </si>
  <si>
    <t>8501040441080</t>
  </si>
  <si>
    <t>9209181281088</t>
  </si>
  <si>
    <t>8212160764083</t>
  </si>
  <si>
    <t>8108201236083</t>
  </si>
  <si>
    <t>7201190649084</t>
  </si>
  <si>
    <t>8203060594084</t>
  </si>
  <si>
    <t>8709101729083</t>
  </si>
  <si>
    <t>8607161064088</t>
  </si>
  <si>
    <t>96090991239088</t>
  </si>
  <si>
    <t>7311020432088</t>
  </si>
  <si>
    <t>8410251019082</t>
  </si>
  <si>
    <t>8503301044082</t>
  </si>
  <si>
    <t>9012310999087</t>
  </si>
  <si>
    <t>7406300600089</t>
  </si>
  <si>
    <t>9711265641087</t>
  </si>
  <si>
    <t>8108045950089</t>
  </si>
  <si>
    <t>9201196003086</t>
  </si>
  <si>
    <t>Greenfields (Lefika camp)</t>
  </si>
  <si>
    <t>Hammaskraal Ext 5</t>
  </si>
  <si>
    <t>Hammaskraal Ext 6</t>
  </si>
  <si>
    <t>Mabatho Ngobeni</t>
  </si>
  <si>
    <t>Salaminah Matlou</t>
  </si>
  <si>
    <t>Martha Mashele</t>
  </si>
  <si>
    <t>9108130888086</t>
  </si>
  <si>
    <t>9301041285084</t>
  </si>
  <si>
    <t>8912010983086</t>
  </si>
  <si>
    <t>Agnes Phala</t>
  </si>
  <si>
    <t>Tebogo Mashele</t>
  </si>
  <si>
    <t>5406280281084</t>
  </si>
  <si>
    <t>8205280984086</t>
  </si>
  <si>
    <t>25°23'20.3"S 28°10'17.2"E</t>
  </si>
  <si>
    <t>25°23'19.0"S 28°10'22.5"E</t>
  </si>
  <si>
    <t>25°23'17.7"S 28°10'21.3"E</t>
  </si>
  <si>
    <t>25°23'18.2"S 28°10'16.5"E</t>
  </si>
  <si>
    <t>'7311161001080</t>
  </si>
  <si>
    <t>8306205458089</t>
  </si>
  <si>
    <t>7408140901081</t>
  </si>
  <si>
    <t>9102240807086</t>
  </si>
  <si>
    <t>7205105207086</t>
  </si>
  <si>
    <t>8807150575082</t>
  </si>
  <si>
    <t>6911035614082</t>
  </si>
  <si>
    <t>9303120727085</t>
  </si>
  <si>
    <t>7101066063088</t>
  </si>
  <si>
    <t>9212140363088</t>
  </si>
  <si>
    <t>8304120840085</t>
  </si>
  <si>
    <t>JOE MAKHUBELA</t>
  </si>
  <si>
    <t>ELSIE MAHASHA</t>
  </si>
  <si>
    <t>SOLOMON ZIMU</t>
  </si>
  <si>
    <t>PAULINA MORWA</t>
  </si>
  <si>
    <t>LUCKY BALOYI</t>
  </si>
  <si>
    <t>VICTORIA GUMEDE</t>
  </si>
  <si>
    <t>URSULA KGOPA</t>
  </si>
  <si>
    <t>7501016014086</t>
  </si>
  <si>
    <t>Coordinator</t>
  </si>
  <si>
    <t>Cleaner</t>
  </si>
  <si>
    <t>STP/INV/26/0353</t>
  </si>
  <si>
    <t xml:space="preserve">PIENAARSPOORT </t>
  </si>
  <si>
    <t>25°27'53.4"S 28°07'56.7"E</t>
  </si>
  <si>
    <t>25°27'51.6"S 28°07'59.9"E</t>
  </si>
  <si>
    <t>25°27'51.6"S 28°08'04.2"E</t>
  </si>
  <si>
    <r>
      <rPr>
        <sz val="10"/>
        <color theme="1"/>
        <rFont val="Arial"/>
        <family val="2"/>
      </rPr>
      <t>PIENAARSPOORT</t>
    </r>
    <r>
      <rPr>
        <sz val="10"/>
        <color rgb="FFFFFFFF"/>
        <rFont val="Arial"/>
        <family val="2"/>
      </rPr>
      <t xml:space="preserve"> </t>
    </r>
  </si>
  <si>
    <t>25°27'46.0"S 28°07'55.2"E</t>
  </si>
  <si>
    <t>25°27'46.5"S 28°07'55.2"E</t>
  </si>
  <si>
    <t>25°27'44.8"S 28°07'54.2"E</t>
  </si>
  <si>
    <t>25°27'44.8"S 28°07'55.7"E</t>
  </si>
  <si>
    <t>25°27'45.8"S 28°08'13.1"E</t>
  </si>
  <si>
    <t>25°27'48.8"S 28°08'00.8"E</t>
  </si>
  <si>
    <t>25°27'46.0"S 28°08'12.2"E</t>
  </si>
  <si>
    <t>25°27'37.9"S 28°08'14.5"E</t>
  </si>
  <si>
    <t>25°27'48.8"S 28°08'15.0"E</t>
  </si>
  <si>
    <t>25°27'49.9"S 28°08'06.8"E</t>
  </si>
  <si>
    <t>25°27'49.9"S 28°08'15.2"E</t>
  </si>
  <si>
    <t>25°27'44.8"S 28°08'15.2"E</t>
  </si>
  <si>
    <t>25°27'41.4"S 28°08'19.8"E</t>
  </si>
  <si>
    <t>25°27'54.3"S 28°07'59.8"E</t>
  </si>
  <si>
    <t>25°27'41.4"S 28°08'15.0"E</t>
  </si>
  <si>
    <t>25°27'45.7"S 28°08'12.9"E</t>
  </si>
  <si>
    <t>25°27'46.0"S 28°08'12.9"E</t>
  </si>
  <si>
    <t>25°27'45.4"S 28°08'11.7"E</t>
  </si>
  <si>
    <t>25°27'45.7"S 28°08'11.7"E</t>
  </si>
  <si>
    <t>25°27'46.0"S 28°08'11.4"E</t>
  </si>
  <si>
    <t>BUFFER C</t>
  </si>
  <si>
    <t>25°28'03.4"S 28°08'22.4"E</t>
  </si>
  <si>
    <t>25°28'05.0"S 28°08'21.2"E</t>
  </si>
  <si>
    <t>25°28'02.3"S 28°08'25.6"E</t>
  </si>
  <si>
    <t>25°28'06.4"S 28°08'20.7"E</t>
  </si>
  <si>
    <t>25°28'09.1"S 28°08'22.6"E</t>
  </si>
  <si>
    <t>25°28'11.0"S 28°08'24.3"E</t>
  </si>
  <si>
    <t>25°28'12.8"S 28°08'23.8"E</t>
  </si>
  <si>
    <t>25°28'16.0"S 28°08'24.7"E</t>
  </si>
  <si>
    <t>25°28'17.0"S 28°08'23.4"E</t>
  </si>
  <si>
    <t>25°28'18.5"S 28°08'25.1"E</t>
  </si>
  <si>
    <t>25°28'20.1"S 28°08'23.7"E</t>
  </si>
  <si>
    <t>25°28'17.3"S 28°08'25.3"E</t>
  </si>
  <si>
    <t>25°28'14.2"S 28°08'25.3"E</t>
  </si>
  <si>
    <t>25°28'10.9"S 28°08'24.7"E</t>
  </si>
  <si>
    <t>25°28'09.5"S 28°08'24.2"E</t>
  </si>
  <si>
    <t>25°28'04.4"S 28°08'22.6"E</t>
  </si>
  <si>
    <t>25°28'02.2"S 28°08'25.6"E</t>
  </si>
  <si>
    <t>25°28'03.4"S 28°08'23.0"E</t>
  </si>
  <si>
    <t>25°28'04.2"S 28°08'25.7"E</t>
  </si>
  <si>
    <t>25°28'09.6"S 28°08'25.1"E</t>
  </si>
  <si>
    <t>25°28'18.1"S 28°08'28.5"E</t>
  </si>
  <si>
    <t>25°28'18.4"S 28°08'28.5"E</t>
  </si>
  <si>
    <t>25°28'04.3"S 28°08'25.9"E</t>
  </si>
  <si>
    <t>25°28'04.1"S 28°08'25.5"E</t>
  </si>
  <si>
    <t>25°28'04.1"S 28°08'24.9"E</t>
  </si>
  <si>
    <t>25°28'03.2"S 28°08'27.3"E</t>
  </si>
  <si>
    <t>25°28'10.0"S 28°08'28.2"E</t>
  </si>
  <si>
    <t>25°28'17.0"S 28°08'31.0"E</t>
  </si>
  <si>
    <t>25°28'16.8"S 28°08'30.9"E</t>
  </si>
  <si>
    <t>25°28'16.8"S 28°08'30.8"E</t>
  </si>
  <si>
    <t>25°28'14.9"S 28°08'33.7"E</t>
  </si>
  <si>
    <t>25°28'12.8"S 28°08'35.9"E</t>
  </si>
  <si>
    <t>25°28'11.8"S 28°08'31.6"E</t>
  </si>
  <si>
    <t>BUFFER CIVCON</t>
  </si>
  <si>
    <t>25°28'03.6"S 28°08'11.7"E</t>
  </si>
  <si>
    <t>25°28'04.0"S 28°08'12.3"E</t>
  </si>
  <si>
    <t>25°28'05.8"S 28°08'13.3"E</t>
  </si>
  <si>
    <t>25°28'06.6"S 28°08'31.6"E</t>
  </si>
  <si>
    <t>25°27'59.6"S 28°08'28.8"E</t>
  </si>
  <si>
    <t>25°28'00.8"S 28°08'26.1"E</t>
  </si>
  <si>
    <t>25°27'56.9"S 28°08'26.8"E</t>
  </si>
  <si>
    <t>SIZWE MAHLANGU</t>
  </si>
  <si>
    <t>Driver</t>
  </si>
  <si>
    <t xml:space="preserve">JULY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</si>
</sst>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&quot;* #,##0.00_-;\-&quot;R&quot;* #,##0.00_-;_-&quot;R&quot;* &quot;-&quot;??_-;_-@_-"/>
    <numFmt numFmtId="164" formatCode="[$R-1C09]#,##0.00"/>
    <numFmt numFmtId="165" formatCode="_-[$R-1C09]* #,##0.00_-;\-[$R-1C09]* #,##0.00_-;_-[$R-1C09]* &quot;-&quot;??_-;_-@_-"/>
    <numFmt numFmtId="166" formatCode="[$-1C09]dd/mmmm/yyyy;@"/>
  </numFmts>
  <fonts count="5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5"/>
      <color rgb="FFFFFFFF"/>
      <name val="Arial"/>
      <family val="2"/>
    </font>
    <font>
      <b/>
      <sz val="8"/>
      <color rgb="FFFFFFFF"/>
      <name val="Arial"/>
      <family val="2"/>
    </font>
    <font>
      <sz val="8"/>
      <color rgb="FF7F8C8D"/>
      <name val="Arial"/>
      <family val="2"/>
    </font>
    <font>
      <sz val="8"/>
      <name val="Calibri"/>
      <family val="2"/>
      <scheme val="minor"/>
    </font>
    <font>
      <sz val="9"/>
      <color rgb="FF1C2833"/>
      <name val="Arial"/>
      <family val="2"/>
    </font>
    <font>
      <sz val="8"/>
      <color rgb="FF008000"/>
      <name val="Arial"/>
      <family val="2"/>
    </font>
    <font>
      <sz val="8"/>
      <color rgb="FF000000"/>
      <name val="Arial"/>
      <family val="2"/>
    </font>
    <font>
      <sz val="9"/>
      <color rgb="FF1A5276"/>
      <name val="Arial"/>
      <family val="2"/>
    </font>
    <font>
      <sz val="9"/>
      <color rgb="FF008000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8"/>
      <color rgb="FF7F8C8D"/>
      <name val="Arial"/>
      <family val="2"/>
    </font>
    <font>
      <b/>
      <sz val="10"/>
      <color rgb="FFFFFFFF"/>
      <name val="Arial"/>
      <family val="2"/>
    </font>
    <font>
      <b/>
      <sz val="10"/>
      <color theme="0"/>
      <name val="Calibri"/>
      <family val="2"/>
      <scheme val="minor"/>
    </font>
    <font>
      <b/>
      <sz val="8"/>
      <color theme="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color rgb="FF000000"/>
      <name val="Arial"/>
      <family val="2"/>
    </font>
    <font>
      <b/>
      <sz val="18"/>
      <color theme="0"/>
      <name val="Arial"/>
      <family val="2"/>
    </font>
    <font>
      <b/>
      <sz val="8"/>
      <color theme="1" tint="0.249977111117893"/>
      <name val="Arial"/>
      <family val="2"/>
    </font>
    <font>
      <b/>
      <sz val="15"/>
      <color rgb="FFFFFFFF"/>
      <name val="Arial"/>
      <family val="2"/>
    </font>
    <font>
      <b/>
      <sz val="10"/>
      <color rgb="FFE8820C"/>
      <name val="Arial"/>
      <family val="2"/>
    </font>
    <font>
      <sz val="9"/>
      <color theme="0" tint="-0.499984740745262"/>
      <name val="Arial"/>
      <family val="2"/>
    </font>
    <font>
      <b/>
      <sz val="8"/>
      <color rgb="FF7F8C8D"/>
      <name val="Arial"/>
      <family val="2"/>
    </font>
    <font>
      <i/>
      <sz val="10"/>
      <color rgb="FF7F8C8D"/>
      <name val="Arial"/>
      <family val="2"/>
    </font>
    <font>
      <b/>
      <sz val="8"/>
      <name val="Arial"/>
      <family val="2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2"/>
      <color rgb="FF008000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name val="Arial"/>
      <family val="2"/>
    </font>
    <font>
      <sz val="11"/>
      <color theme="1" tint="0.249977111117893"/>
      <name val="Arial"/>
      <family val="2"/>
    </font>
    <font>
      <sz val="8"/>
      <color theme="1" tint="0.249977111117893"/>
      <name val="Arial"/>
      <family val="2"/>
    </font>
    <font>
      <sz val="10"/>
      <color rgb="FFFFFFFF"/>
      <name val="Arial"/>
      <family val="2"/>
    </font>
    <font>
      <i/>
      <sz val="8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E8820C"/>
        <bgColor rgb="FFFF6600"/>
      </patternFill>
    </fill>
    <fill>
      <patternFill patternType="solid">
        <fgColor rgb="FFFFFFFF"/>
        <bgColor rgb="FFFFFDE7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1C2833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</borders>
  <cellStyleXfs count="3">
    <xf numFmtId="0" fontId="0" fillId="0" borderId="0"/>
    <xf numFmtId="44" fontId="6" fillId="0" borderId="0" applyFont="0" applyFill="0" applyBorder="0" applyAlignment="0" applyProtection="0"/>
    <xf numFmtId="0" fontId="42" fillId="0" borderId="0" applyNumberFormat="0" applyFill="0" applyBorder="0" applyAlignment="0" applyProtection="0"/>
  </cellStyleXfs>
  <cellXfs count="180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right"/>
    </xf>
    <xf numFmtId="165" fontId="1" fillId="0" borderId="0" xfId="0" applyNumberFormat="1" applyFont="1"/>
    <xf numFmtId="0" fontId="5" fillId="0" borderId="0" xfId="0" applyFont="1"/>
    <xf numFmtId="165" fontId="0" fillId="0" borderId="0" xfId="0" applyNumberFormat="1"/>
    <xf numFmtId="164" fontId="0" fillId="0" borderId="0" xfId="0" applyNumberFormat="1"/>
    <xf numFmtId="0" fontId="5" fillId="0" borderId="0" xfId="0" applyFont="1" applyAlignment="1">
      <alignment horizontal="left"/>
    </xf>
    <xf numFmtId="0" fontId="0" fillId="0" borderId="0" xfId="0" quotePrefix="1"/>
    <xf numFmtId="0" fontId="0" fillId="2" borderId="0" xfId="0" applyFill="1"/>
    <xf numFmtId="0" fontId="14" fillId="3" borderId="2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left" vertical="center"/>
    </xf>
    <xf numFmtId="1" fontId="15" fillId="3" borderId="2" xfId="0" applyNumberFormat="1" applyFont="1" applyFill="1" applyBorder="1" applyAlignment="1">
      <alignment horizontal="center" vertical="center"/>
    </xf>
    <xf numFmtId="1" fontId="16" fillId="3" borderId="2" xfId="0" applyNumberFormat="1" applyFont="1" applyFill="1" applyBorder="1" applyAlignment="1">
      <alignment horizontal="center" vertical="center"/>
    </xf>
    <xf numFmtId="4" fontId="17" fillId="3" borderId="2" xfId="0" applyNumberFormat="1" applyFont="1" applyFill="1" applyBorder="1" applyAlignment="1">
      <alignment horizontal="right" vertical="center"/>
    </xf>
    <xf numFmtId="4" fontId="18" fillId="3" borderId="2" xfId="0" applyNumberFormat="1" applyFont="1" applyFill="1" applyBorder="1" applyAlignment="1">
      <alignment horizontal="right" vertical="center"/>
    </xf>
    <xf numFmtId="0" fontId="15" fillId="3" borderId="2" xfId="0" applyFont="1" applyFill="1" applyBorder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14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12" fillId="0" borderId="2" xfId="0" applyFont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1" fontId="16" fillId="0" borderId="2" xfId="0" applyNumberFormat="1" applyFont="1" applyBorder="1" applyAlignment="1">
      <alignment horizontal="center" vertical="center"/>
    </xf>
    <xf numFmtId="4" fontId="17" fillId="0" borderId="2" xfId="0" applyNumberFormat="1" applyFont="1" applyBorder="1" applyAlignment="1">
      <alignment horizontal="right" vertical="center"/>
    </xf>
    <xf numFmtId="4" fontId="18" fillId="0" borderId="2" xfId="0" applyNumberFormat="1" applyFont="1" applyBorder="1" applyAlignment="1">
      <alignment horizontal="right" vertical="center"/>
    </xf>
    <xf numFmtId="0" fontId="15" fillId="0" borderId="2" xfId="0" applyFont="1" applyBorder="1" applyAlignment="1">
      <alignment horizontal="left" vertical="center"/>
    </xf>
    <xf numFmtId="0" fontId="15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right" vertical="center"/>
    </xf>
    <xf numFmtId="44" fontId="1" fillId="0" borderId="0" xfId="0" applyNumberFormat="1" applyFont="1"/>
    <xf numFmtId="0" fontId="19" fillId="0" borderId="0" xfId="0" applyFont="1"/>
    <xf numFmtId="0" fontId="20" fillId="0" borderId="0" xfId="0" applyFont="1" applyAlignment="1">
      <alignment vertical="center"/>
    </xf>
    <xf numFmtId="0" fontId="19" fillId="0" borderId="1" xfId="0" applyFont="1" applyBorder="1"/>
    <xf numFmtId="0" fontId="26" fillId="0" borderId="0" xfId="0" applyFont="1"/>
    <xf numFmtId="0" fontId="28" fillId="0" borderId="0" xfId="0" applyFont="1" applyAlignment="1">
      <alignment vertical="center"/>
    </xf>
    <xf numFmtId="0" fontId="24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166" fontId="24" fillId="0" borderId="0" xfId="0" applyNumberFormat="1" applyFont="1" applyAlignment="1">
      <alignment horizontal="right" vertical="center"/>
    </xf>
    <xf numFmtId="0" fontId="24" fillId="0" borderId="0" xfId="0" quotePrefix="1" applyFont="1" applyAlignment="1">
      <alignment horizontal="right" vertical="center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vertical="center"/>
    </xf>
    <xf numFmtId="0" fontId="19" fillId="0" borderId="0" xfId="0" applyFont="1" applyAlignment="1">
      <alignment vertical="top"/>
    </xf>
    <xf numFmtId="0" fontId="14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horizontal="center" vertical="center"/>
    </xf>
    <xf numFmtId="1" fontId="15" fillId="0" borderId="3" xfId="0" applyNumberFormat="1" applyFont="1" applyBorder="1" applyAlignment="1">
      <alignment horizontal="center" vertical="center"/>
    </xf>
    <xf numFmtId="1" fontId="16" fillId="0" borderId="3" xfId="0" applyNumberFormat="1" applyFont="1" applyBorder="1" applyAlignment="1">
      <alignment horizontal="center" vertical="center"/>
    </xf>
    <xf numFmtId="44" fontId="17" fillId="0" borderId="3" xfId="1" applyFont="1" applyFill="1" applyBorder="1" applyAlignment="1">
      <alignment horizontal="right" vertical="center"/>
    </xf>
    <xf numFmtId="44" fontId="18" fillId="0" borderId="3" xfId="1" applyFont="1" applyFill="1" applyBorder="1" applyAlignment="1">
      <alignment horizontal="right" vertical="center"/>
    </xf>
    <xf numFmtId="0" fontId="22" fillId="4" borderId="8" xfId="0" applyFont="1" applyFill="1" applyBorder="1" applyAlignment="1">
      <alignment horizontal="center" vertical="center" wrapText="1"/>
    </xf>
    <xf numFmtId="0" fontId="25" fillId="4" borderId="0" xfId="0" applyFont="1" applyFill="1"/>
    <xf numFmtId="0" fontId="7" fillId="4" borderId="0" xfId="0" applyFont="1" applyFill="1"/>
    <xf numFmtId="1" fontId="7" fillId="4" borderId="10" xfId="0" applyNumberFormat="1" applyFont="1" applyFill="1" applyBorder="1"/>
    <xf numFmtId="0" fontId="7" fillId="4" borderId="10" xfId="0" applyFont="1" applyFill="1" applyBorder="1"/>
    <xf numFmtId="44" fontId="7" fillId="4" borderId="10" xfId="1" applyFont="1" applyFill="1" applyBorder="1"/>
    <xf numFmtId="44" fontId="7" fillId="4" borderId="10" xfId="0" applyNumberFormat="1" applyFont="1" applyFill="1" applyBorder="1"/>
    <xf numFmtId="44" fontId="27" fillId="6" borderId="10" xfId="0" applyNumberFormat="1" applyFont="1" applyFill="1" applyBorder="1"/>
    <xf numFmtId="0" fontId="23" fillId="0" borderId="0" xfId="0" applyFont="1" applyAlignment="1">
      <alignment horizontal="right" vertical="center"/>
    </xf>
    <xf numFmtId="0" fontId="29" fillId="5" borderId="0" xfId="0" applyFont="1" applyFill="1" applyAlignment="1">
      <alignment horizontal="right" vertical="center"/>
    </xf>
    <xf numFmtId="0" fontId="20" fillId="5" borderId="0" xfId="0" applyFont="1" applyFill="1" applyAlignment="1">
      <alignment vertical="center"/>
    </xf>
    <xf numFmtId="0" fontId="35" fillId="0" borderId="0" xfId="0" applyFont="1"/>
    <xf numFmtId="44" fontId="15" fillId="0" borderId="3" xfId="1" applyFont="1" applyBorder="1" applyAlignment="1">
      <alignment horizontal="center" vertical="center"/>
    </xf>
    <xf numFmtId="44" fontId="15" fillId="0" borderId="2" xfId="1" applyFont="1" applyBorder="1" applyAlignment="1">
      <alignment horizontal="center" vertical="center"/>
    </xf>
    <xf numFmtId="44" fontId="15" fillId="3" borderId="2" xfId="1" applyFont="1" applyFill="1" applyBorder="1" applyAlignment="1">
      <alignment horizontal="center" vertical="center"/>
    </xf>
    <xf numFmtId="165" fontId="24" fillId="0" borderId="0" xfId="0" applyNumberFormat="1" applyFont="1" applyAlignment="1">
      <alignment horizontal="right" vertical="center"/>
    </xf>
    <xf numFmtId="44" fontId="0" fillId="0" borderId="0" xfId="0" applyNumberFormat="1"/>
    <xf numFmtId="0" fontId="36" fillId="0" borderId="0" xfId="0" applyFont="1" applyAlignment="1">
      <alignment horizontal="right" vertical="center"/>
    </xf>
    <xf numFmtId="0" fontId="37" fillId="2" borderId="0" xfId="0" applyFont="1" applyFill="1"/>
    <xf numFmtId="0" fontId="38" fillId="0" borderId="0" xfId="0" applyFont="1"/>
    <xf numFmtId="0" fontId="39" fillId="0" borderId="0" xfId="0" applyFont="1" applyAlignment="1">
      <alignment vertical="center"/>
    </xf>
    <xf numFmtId="0" fontId="40" fillId="0" borderId="0" xfId="0" applyFont="1"/>
    <xf numFmtId="0" fontId="40" fillId="0" borderId="1" xfId="0" applyFont="1" applyBorder="1"/>
    <xf numFmtId="0" fontId="37" fillId="0" borderId="0" xfId="0" applyFont="1"/>
    <xf numFmtId="0" fontId="41" fillId="0" borderId="0" xfId="0" applyFont="1" applyAlignment="1">
      <alignment horizontal="right" vertical="center"/>
    </xf>
    <xf numFmtId="1" fontId="41" fillId="0" borderId="0" xfId="0" applyNumberFormat="1" applyFont="1" applyAlignment="1">
      <alignment horizontal="center" vertical="center"/>
    </xf>
    <xf numFmtId="0" fontId="3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3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9" fillId="5" borderId="0" xfId="0" applyFont="1" applyFill="1" applyAlignment="1">
      <alignment vertical="center"/>
    </xf>
    <xf numFmtId="0" fontId="24" fillId="0" borderId="0" xfId="0" applyFont="1" applyAlignment="1">
      <alignment vertical="center"/>
    </xf>
    <xf numFmtId="0" fontId="24" fillId="0" borderId="0" xfId="0" quotePrefix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" fontId="1" fillId="0" borderId="0" xfId="0" applyNumberFormat="1" applyFont="1" applyAlignment="1">
      <alignment horizontal="center" vertical="center"/>
    </xf>
    <xf numFmtId="166" fontId="19" fillId="0" borderId="0" xfId="0" applyNumberFormat="1" applyFont="1"/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1" fillId="0" borderId="12" xfId="0" applyFon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1" fontId="0" fillId="0" borderId="12" xfId="0" applyNumberFormat="1" applyBorder="1" applyAlignment="1">
      <alignment horizontal="center" vertical="center"/>
    </xf>
    <xf numFmtId="1" fontId="4" fillId="0" borderId="12" xfId="0" applyNumberFormat="1" applyFont="1" applyBorder="1" applyAlignment="1">
      <alignment horizontal="center" vertical="center"/>
    </xf>
    <xf numFmtId="0" fontId="0" fillId="2" borderId="0" xfId="0" applyFill="1" applyAlignment="1">
      <alignment horizontal="left"/>
    </xf>
    <xf numFmtId="0" fontId="1" fillId="0" borderId="12" xfId="0" applyFont="1" applyBorder="1" applyAlignment="1">
      <alignment horizontal="left"/>
    </xf>
    <xf numFmtId="1" fontId="0" fillId="0" borderId="12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9" fillId="5" borderId="0" xfId="0" applyFont="1" applyFill="1" applyAlignment="1">
      <alignment horizontal="left" vertical="center"/>
    </xf>
    <xf numFmtId="1" fontId="4" fillId="0" borderId="12" xfId="0" applyNumberFormat="1" applyFont="1" applyBorder="1" applyAlignment="1">
      <alignment horizontal="left" vertical="center"/>
    </xf>
    <xf numFmtId="1" fontId="4" fillId="0" borderId="12" xfId="0" applyNumberFormat="1" applyFont="1" applyBorder="1" applyAlignment="1">
      <alignment horizontal="left"/>
    </xf>
    <xf numFmtId="1" fontId="44" fillId="0" borderId="12" xfId="0" applyNumberFormat="1" applyFont="1" applyBorder="1" applyAlignment="1">
      <alignment horizontal="left" vertical="center"/>
    </xf>
    <xf numFmtId="0" fontId="37" fillId="2" borderId="0" xfId="0" applyFont="1" applyFill="1" applyAlignment="1">
      <alignment horizontal="left"/>
    </xf>
    <xf numFmtId="1" fontId="45" fillId="0" borderId="12" xfId="0" applyNumberFormat="1" applyFont="1" applyBorder="1" applyAlignment="1">
      <alignment horizontal="left"/>
    </xf>
    <xf numFmtId="1" fontId="46" fillId="0" borderId="12" xfId="0" applyNumberFormat="1" applyFont="1" applyBorder="1" applyAlignment="1">
      <alignment horizontal="left" vertical="center"/>
    </xf>
    <xf numFmtId="1" fontId="40" fillId="0" borderId="12" xfId="0" applyNumberFormat="1" applyFont="1" applyBorder="1" applyAlignment="1">
      <alignment horizontal="left"/>
    </xf>
    <xf numFmtId="1" fontId="37" fillId="0" borderId="12" xfId="0" applyNumberFormat="1" applyFont="1" applyBorder="1" applyAlignment="1">
      <alignment horizontal="left"/>
    </xf>
    <xf numFmtId="0" fontId="37" fillId="0" borderId="12" xfId="0" applyFont="1" applyBorder="1" applyAlignment="1">
      <alignment horizontal="left"/>
    </xf>
    <xf numFmtId="0" fontId="37" fillId="0" borderId="0" xfId="0" applyFont="1" applyAlignment="1">
      <alignment horizontal="left"/>
    </xf>
    <xf numFmtId="0" fontId="43" fillId="0" borderId="12" xfId="2" applyFont="1" applyBorder="1" applyAlignment="1">
      <alignment horizontal="left"/>
    </xf>
    <xf numFmtId="1" fontId="19" fillId="0" borderId="12" xfId="0" applyNumberFormat="1" applyFont="1" applyBorder="1" applyAlignment="1">
      <alignment horizontal="left"/>
    </xf>
    <xf numFmtId="1" fontId="15" fillId="0" borderId="2" xfId="1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36" fillId="0" borderId="13" xfId="0" applyFont="1" applyBorder="1" applyAlignment="1">
      <alignment horizontal="center" vertical="center"/>
    </xf>
    <xf numFmtId="0" fontId="0" fillId="0" borderId="13" xfId="0" applyBorder="1"/>
    <xf numFmtId="0" fontId="37" fillId="0" borderId="13" xfId="0" applyFont="1" applyBorder="1"/>
    <xf numFmtId="16" fontId="1" fillId="0" borderId="13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" fontId="36" fillId="0" borderId="13" xfId="0" applyNumberFormat="1" applyFont="1" applyBorder="1" applyAlignment="1">
      <alignment horizontal="center" vertical="center"/>
    </xf>
    <xf numFmtId="0" fontId="4" fillId="0" borderId="13" xfId="0" applyFont="1" applyBorder="1"/>
    <xf numFmtId="0" fontId="36" fillId="0" borderId="13" xfId="0" applyFont="1" applyBorder="1" applyAlignment="1">
      <alignment horizontal="right" vertical="center"/>
    </xf>
    <xf numFmtId="0" fontId="41" fillId="0" borderId="13" xfId="0" applyFont="1" applyBorder="1" applyAlignment="1">
      <alignment horizontal="right" vertical="center"/>
    </xf>
    <xf numFmtId="16" fontId="1" fillId="7" borderId="13" xfId="0" applyNumberFormat="1" applyFont="1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" fontId="1" fillId="8" borderId="13" xfId="0" applyNumberFormat="1" applyFont="1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3" fillId="0" borderId="0" xfId="0" applyFont="1" applyAlignment="1">
      <alignment horizontal="left" vertical="center"/>
    </xf>
    <xf numFmtId="0" fontId="47" fillId="0" borderId="0" xfId="0" applyFont="1" applyAlignment="1">
      <alignment horizontal="right" vertical="center"/>
    </xf>
    <xf numFmtId="0" fontId="8" fillId="5" borderId="0" xfId="0" applyFont="1" applyFill="1" applyAlignment="1">
      <alignment horizontal="left" vertical="center"/>
    </xf>
    <xf numFmtId="0" fontId="48" fillId="0" borderId="0" xfId="0" applyFont="1"/>
    <xf numFmtId="0" fontId="49" fillId="0" borderId="0" xfId="0" applyFont="1"/>
    <xf numFmtId="0" fontId="48" fillId="0" borderId="0" xfId="0" applyFont="1" applyAlignment="1">
      <alignment horizontal="left"/>
    </xf>
    <xf numFmtId="0" fontId="50" fillId="0" borderId="0" xfId="0" applyFont="1"/>
    <xf numFmtId="0" fontId="50" fillId="0" borderId="0" xfId="0" applyFont="1" applyAlignment="1">
      <alignment horizontal="left"/>
    </xf>
    <xf numFmtId="0" fontId="48" fillId="0" borderId="0" xfId="0" applyFont="1" applyAlignment="1">
      <alignment horizontal="left" vertical="center"/>
    </xf>
    <xf numFmtId="0" fontId="51" fillId="0" borderId="0" xfId="0" applyFont="1" applyAlignment="1">
      <alignment horizontal="center" vertical="center"/>
    </xf>
    <xf numFmtId="0" fontId="52" fillId="0" borderId="0" xfId="0" applyFont="1" applyAlignment="1">
      <alignment horizontal="left" vertical="center"/>
    </xf>
    <xf numFmtId="1" fontId="0" fillId="0" borderId="12" xfId="0" applyNumberFormat="1" applyBorder="1" applyAlignment="1">
      <alignment horizontal="left" vertical="center"/>
    </xf>
    <xf numFmtId="1" fontId="41" fillId="0" borderId="12" xfId="0" applyNumberFormat="1" applyFont="1" applyBorder="1" applyAlignment="1">
      <alignment horizontal="left" vertical="center"/>
    </xf>
    <xf numFmtId="1" fontId="53" fillId="0" borderId="12" xfId="0" applyNumberFormat="1" applyFont="1" applyBorder="1" applyAlignment="1">
      <alignment horizontal="left" vertical="center"/>
    </xf>
    <xf numFmtId="1" fontId="54" fillId="0" borderId="12" xfId="0" applyNumberFormat="1" applyFont="1" applyBorder="1" applyAlignment="1">
      <alignment horizontal="left" vertical="center"/>
    </xf>
    <xf numFmtId="1" fontId="55" fillId="0" borderId="12" xfId="0" applyNumberFormat="1" applyFont="1" applyBorder="1" applyAlignment="1">
      <alignment horizontal="left"/>
    </xf>
    <xf numFmtId="0" fontId="24" fillId="0" borderId="0" xfId="0" applyFont="1" applyAlignment="1">
      <alignment horizontal="right" vertical="center"/>
    </xf>
    <xf numFmtId="0" fontId="23" fillId="0" borderId="0" xfId="0" applyFont="1" applyAlignment="1">
      <alignment horizontal="right" vertical="center"/>
    </xf>
    <xf numFmtId="166" fontId="24" fillId="0" borderId="0" xfId="0" applyNumberFormat="1" applyFont="1" applyAlignment="1">
      <alignment horizontal="right" vertical="center"/>
    </xf>
    <xf numFmtId="0" fontId="24" fillId="0" borderId="0" xfId="0" quotePrefix="1" applyFont="1" applyAlignment="1">
      <alignment horizontal="right" vertical="center"/>
    </xf>
    <xf numFmtId="0" fontId="0" fillId="0" borderId="13" xfId="0" applyBorder="1"/>
    <xf numFmtId="0" fontId="19" fillId="0" borderId="11" xfId="0" applyFont="1" applyBorder="1" applyAlignment="1">
      <alignment vertical="top"/>
    </xf>
    <xf numFmtId="0" fontId="19" fillId="0" borderId="0" xfId="0" applyFont="1" applyAlignment="1">
      <alignment vertical="top"/>
    </xf>
    <xf numFmtId="0" fontId="19" fillId="0" borderId="0" xfId="0" applyFont="1"/>
    <xf numFmtId="0" fontId="19" fillId="0" borderId="1" xfId="0" applyFont="1" applyBorder="1"/>
    <xf numFmtId="166" fontId="35" fillId="0" borderId="1" xfId="0" applyNumberFormat="1" applyFont="1" applyBorder="1"/>
    <xf numFmtId="166" fontId="19" fillId="0" borderId="1" xfId="0" applyNumberFormat="1" applyFont="1" applyBorder="1"/>
    <xf numFmtId="0" fontId="19" fillId="0" borderId="11" xfId="0" applyFont="1" applyBorder="1"/>
    <xf numFmtId="0" fontId="33" fillId="0" borderId="0" xfId="0" applyFont="1" applyAlignment="1">
      <alignment vertical="center"/>
    </xf>
    <xf numFmtId="0" fontId="31" fillId="5" borderId="0" xfId="0" applyFont="1" applyFill="1" applyAlignment="1">
      <alignment vertical="center"/>
    </xf>
    <xf numFmtId="0" fontId="29" fillId="5" borderId="0" xfId="0" applyFont="1" applyFill="1" applyAlignment="1">
      <alignment horizontal="right" vertical="center"/>
    </xf>
    <xf numFmtId="0" fontId="10" fillId="0" borderId="0" xfId="0" applyFont="1" applyAlignment="1">
      <alignment vertical="center"/>
    </xf>
    <xf numFmtId="0" fontId="1" fillId="0" borderId="13" xfId="0" applyFont="1" applyBorder="1"/>
    <xf numFmtId="0" fontId="36" fillId="0" borderId="13" xfId="0" applyFont="1" applyBorder="1" applyAlignment="1">
      <alignment horizontal="center" vertical="center" textRotation="45"/>
    </xf>
    <xf numFmtId="0" fontId="22" fillId="4" borderId="6" xfId="0" applyFont="1" applyFill="1" applyBorder="1" applyAlignment="1">
      <alignment horizontal="right" vertical="center" wrapText="1"/>
    </xf>
    <xf numFmtId="0" fontId="22" fillId="4" borderId="9" xfId="0" applyFont="1" applyFill="1" applyBorder="1" applyAlignment="1">
      <alignment horizontal="right" vertical="center" wrapText="1"/>
    </xf>
    <xf numFmtId="0" fontId="4" fillId="0" borderId="0" xfId="0" applyFont="1"/>
    <xf numFmtId="0" fontId="8" fillId="5" borderId="0" xfId="0" applyFont="1" applyFill="1" applyAlignment="1">
      <alignment vertical="center"/>
    </xf>
    <xf numFmtId="0" fontId="10" fillId="0" borderId="0" xfId="0" applyFont="1" applyAlignment="1">
      <alignment horizontal="left" vertical="center"/>
    </xf>
    <xf numFmtId="0" fontId="21" fillId="4" borderId="5" xfId="0" applyFont="1" applyFill="1" applyBorder="1" applyAlignment="1">
      <alignment horizontal="center"/>
    </xf>
    <xf numFmtId="0" fontId="22" fillId="4" borderId="4" xfId="0" applyFont="1" applyFill="1" applyBorder="1" applyAlignment="1">
      <alignment horizontal="center" vertical="center" wrapText="1"/>
    </xf>
    <xf numFmtId="0" fontId="22" fillId="4" borderId="7" xfId="0" applyFont="1" applyFill="1" applyBorder="1" applyAlignment="1">
      <alignment horizontal="center" vertical="center" wrapText="1"/>
    </xf>
    <xf numFmtId="0" fontId="22" fillId="4" borderId="5" xfId="0" applyFont="1" applyFill="1" applyBorder="1" applyAlignment="1">
      <alignment horizontal="center" vertical="center" wrapText="1"/>
    </xf>
    <xf numFmtId="0" fontId="22" fillId="4" borderId="8" xfId="0" applyFont="1" applyFill="1" applyBorder="1" applyAlignment="1">
      <alignment horizontal="center" vertical="center" wrapText="1"/>
    </xf>
    <xf numFmtId="0" fontId="35" fillId="0" borderId="1" xfId="0" applyFont="1" applyBorder="1"/>
    <xf numFmtId="0" fontId="20" fillId="5" borderId="0" xfId="0" applyFont="1" applyFill="1" applyAlignment="1">
      <alignment vertical="center"/>
    </xf>
    <xf numFmtId="0" fontId="27" fillId="6" borderId="10" xfId="0" applyFont="1" applyFill="1" applyBorder="1" applyAlignment="1">
      <alignment horizontal="right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8" fillId="2" borderId="0" xfId="0" applyFont="1" applyFill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Relationship Id="rId14" Type="http://schemas.openxmlformats.org/officeDocument/2006/relationships/customXml" Target="../customXml/item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AFEBE-B068-4D93-9E2E-95BF730E8517}">
  <sheetPr>
    <pageSetUpPr fitToPage="1"/>
  </sheetPr>
  <dimension ref="A1:M50"/>
  <sheetViews>
    <sheetView showGridLines="0" view="pageBreakPreview" topLeftCell="A32" zoomScaleNormal="100" zoomScaleSheetLayoutView="100" workbookViewId="0">
      <selection activeCell="K4" sqref="K4"/>
    </sheetView>
  </sheetViews>
  <sheetFormatPr defaultRowHeight="14.4" x14ac:dyDescent="0.3"/>
  <cols>
    <col min="1" max="1" width="2.33203125" bestFit="1" customWidth="1"/>
    <col min="2" max="2" width="27.88671875" bestFit="1" customWidth="1"/>
    <col min="3" max="4" width="7.77734375" customWidth="1"/>
    <col min="5" max="5" width="8.21875" customWidth="1"/>
    <col min="6" max="6" width="10.109375" bestFit="1" customWidth="1"/>
    <col min="7" max="7" width="7.77734375" customWidth="1"/>
    <col min="8" max="8" width="14.33203125" customWidth="1"/>
    <col min="9" max="9" width="6.77734375" bestFit="1" customWidth="1"/>
    <col min="10" max="10" width="17.21875" bestFit="1" customWidth="1"/>
    <col min="11" max="11" width="21.5546875" customWidth="1"/>
    <col min="12" max="12" width="12.44140625" bestFit="1" customWidth="1"/>
    <col min="13" max="15" width="10.77734375" customWidth="1"/>
  </cols>
  <sheetData>
    <row r="1" spans="1:11" ht="22.8" x14ac:dyDescent="0.3">
      <c r="A1" s="158" t="s">
        <v>47</v>
      </c>
      <c r="B1" s="166"/>
      <c r="C1" s="166"/>
      <c r="D1" s="166"/>
      <c r="E1" s="166"/>
      <c r="F1" s="166"/>
      <c r="G1" s="166"/>
      <c r="H1" s="166"/>
      <c r="I1" s="166"/>
      <c r="J1" s="159" t="s">
        <v>69</v>
      </c>
      <c r="K1" s="159"/>
    </row>
    <row r="2" spans="1:11" ht="1.95" customHeigh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3">
      <c r="A3" s="167" t="s">
        <v>2</v>
      </c>
      <c r="B3" s="167"/>
      <c r="C3" s="167"/>
      <c r="D3" s="167"/>
      <c r="E3" s="167"/>
      <c r="F3" s="167"/>
      <c r="G3" s="167"/>
      <c r="H3" s="146" t="s">
        <v>6</v>
      </c>
      <c r="I3" s="146"/>
      <c r="J3" s="146"/>
      <c r="K3" s="35" t="s">
        <v>495</v>
      </c>
    </row>
    <row r="4" spans="1:11" x14ac:dyDescent="0.3">
      <c r="A4" s="167" t="s">
        <v>54</v>
      </c>
      <c r="B4" s="167"/>
      <c r="C4" s="167"/>
      <c r="D4" s="167"/>
      <c r="E4" s="167"/>
      <c r="F4" s="167"/>
      <c r="G4" s="167"/>
      <c r="H4" s="146" t="s">
        <v>3</v>
      </c>
      <c r="I4" s="146"/>
      <c r="J4" s="146"/>
      <c r="K4" s="37" t="str">
        <f ca="1">TEXT(DATE(YEAR(TODAY()),MONTH(TODAY()),26),"dd mmmm yyyy")</f>
        <v>26 May 2026</v>
      </c>
    </row>
    <row r="5" spans="1:11" x14ac:dyDescent="0.3">
      <c r="A5" s="167" t="s">
        <v>55</v>
      </c>
      <c r="B5" s="167"/>
      <c r="C5" s="167"/>
      <c r="D5" s="167"/>
      <c r="E5" s="167"/>
      <c r="F5" s="167"/>
      <c r="G5" s="167"/>
      <c r="H5" s="146" t="s">
        <v>4</v>
      </c>
      <c r="I5" s="146"/>
      <c r="J5" s="146"/>
      <c r="K5" s="35" t="str">
        <f ca="1">TEXT(K4,"mmmm YY") &amp; " (" &amp; TEXT(DATE(YEAR(K4),MONTH(K4),1),"dd mmm") &amp; " - " &amp; TEXT(DATE(YEAR(K4),MONTH(K4),25),"dd mmm") &amp; ")"</f>
        <v>May 26 (01 May - 25 May)</v>
      </c>
    </row>
    <row r="6" spans="1:11" x14ac:dyDescent="0.3">
      <c r="A6" s="167" t="s">
        <v>46</v>
      </c>
      <c r="B6" s="167"/>
      <c r="C6" s="167"/>
      <c r="D6" s="167"/>
      <c r="E6" s="167"/>
      <c r="F6" s="167"/>
      <c r="G6" s="167"/>
      <c r="H6" s="146" t="s">
        <v>11</v>
      </c>
      <c r="I6" s="146"/>
      <c r="J6" s="146"/>
      <c r="K6" s="35">
        <f ca="1">DATE(YEAR(K4),MONTH(K4),25) - DATE(YEAR(K4),MONTH(K4),1) + 1</f>
        <v>25</v>
      </c>
    </row>
    <row r="7" spans="1:11" x14ac:dyDescent="0.3">
      <c r="A7" s="167" t="s">
        <v>56</v>
      </c>
      <c r="B7" s="167"/>
      <c r="C7" s="167"/>
      <c r="D7" s="167"/>
      <c r="E7" s="167"/>
      <c r="F7" s="167"/>
      <c r="G7" s="167"/>
      <c r="H7" s="146" t="s">
        <v>5</v>
      </c>
      <c r="I7" s="146"/>
      <c r="J7" s="146"/>
      <c r="K7" s="38"/>
    </row>
    <row r="8" spans="1:11" x14ac:dyDescent="0.3">
      <c r="A8" s="167"/>
      <c r="B8" s="167"/>
      <c r="C8" s="167"/>
      <c r="D8" s="167"/>
      <c r="E8" s="167"/>
      <c r="F8" s="167"/>
      <c r="G8" s="167"/>
      <c r="H8" s="146"/>
      <c r="I8" s="146"/>
      <c r="J8" s="146"/>
      <c r="K8" s="35"/>
    </row>
    <row r="9" spans="1:11" x14ac:dyDescent="0.3">
      <c r="A9" s="5"/>
      <c r="B9" s="8"/>
      <c r="C9" s="2"/>
      <c r="D9" s="2"/>
      <c r="E9" s="2"/>
      <c r="F9" s="2"/>
      <c r="G9" s="2"/>
      <c r="H9" s="165"/>
      <c r="I9" s="165"/>
      <c r="J9" s="165"/>
      <c r="K9" s="36"/>
    </row>
    <row r="10" spans="1:11" x14ac:dyDescent="0.3">
      <c r="A10" s="176" t="s">
        <v>7</v>
      </c>
      <c r="B10" s="176"/>
      <c r="C10" s="176"/>
      <c r="D10" s="176"/>
      <c r="E10" s="176"/>
      <c r="F10" s="176"/>
      <c r="G10" s="176"/>
      <c r="H10" s="146"/>
      <c r="I10" s="146"/>
      <c r="J10" s="146"/>
      <c r="K10" s="36"/>
    </row>
    <row r="11" spans="1:11" x14ac:dyDescent="0.3">
      <c r="A11" s="177" t="s">
        <v>8</v>
      </c>
      <c r="B11" s="177"/>
      <c r="C11" s="177"/>
      <c r="D11" s="177"/>
      <c r="E11" s="177"/>
      <c r="F11" s="177"/>
      <c r="G11" s="177"/>
      <c r="H11" s="146" t="s">
        <v>9</v>
      </c>
      <c r="I11" s="146"/>
      <c r="J11" s="146"/>
      <c r="K11" s="35" t="s">
        <v>10</v>
      </c>
    </row>
    <row r="12" spans="1:11" x14ac:dyDescent="0.3">
      <c r="A12" s="177" t="s">
        <v>52</v>
      </c>
      <c r="B12" s="177"/>
      <c r="C12" s="177"/>
      <c r="D12" s="177"/>
      <c r="E12" s="177"/>
      <c r="F12" s="177"/>
      <c r="G12" s="177"/>
      <c r="H12" s="146" t="s">
        <v>13</v>
      </c>
      <c r="I12" s="146"/>
      <c r="J12" s="146"/>
      <c r="K12" s="64">
        <v>11.5</v>
      </c>
    </row>
    <row r="13" spans="1:11" x14ac:dyDescent="0.3">
      <c r="A13" s="177" t="s">
        <v>12</v>
      </c>
      <c r="B13" s="177"/>
      <c r="C13" s="177"/>
      <c r="D13" s="177"/>
      <c r="E13" s="177"/>
      <c r="F13" s="177"/>
      <c r="G13" s="177"/>
      <c r="H13" s="146" t="s">
        <v>49</v>
      </c>
      <c r="I13" s="146"/>
      <c r="J13" s="146"/>
      <c r="K13" s="64">
        <v>96.5</v>
      </c>
    </row>
    <row r="14" spans="1:11" x14ac:dyDescent="0.3">
      <c r="A14" s="177" t="s">
        <v>53</v>
      </c>
      <c r="B14" s="177"/>
      <c r="C14" s="177"/>
      <c r="D14" s="177"/>
      <c r="E14" s="177"/>
      <c r="F14" s="177"/>
      <c r="G14" s="177"/>
      <c r="H14" s="146" t="s">
        <v>58</v>
      </c>
      <c r="I14" s="146"/>
      <c r="J14" s="146"/>
      <c r="K14" s="64">
        <v>7</v>
      </c>
    </row>
    <row r="15" spans="1:11" x14ac:dyDescent="0.3">
      <c r="H15" s="146" t="s">
        <v>48</v>
      </c>
      <c r="I15" s="146"/>
      <c r="J15" s="146"/>
      <c r="K15" s="35" t="s">
        <v>35</v>
      </c>
    </row>
    <row r="16" spans="1:11" x14ac:dyDescent="0.3">
      <c r="H16" s="2"/>
      <c r="I16" s="2"/>
      <c r="J16" s="18"/>
      <c r="K16" s="28"/>
    </row>
    <row r="17" spans="1:13" x14ac:dyDescent="0.3">
      <c r="H17" s="2"/>
      <c r="I17" s="2"/>
      <c r="J17" s="18"/>
      <c r="K17" s="28"/>
    </row>
    <row r="18" spans="1:13" x14ac:dyDescent="0.3">
      <c r="H18" s="2"/>
      <c r="I18" s="2"/>
      <c r="J18" s="18"/>
      <c r="K18" s="28"/>
    </row>
    <row r="19" spans="1:13" x14ac:dyDescent="0.3">
      <c r="A19" s="169" t="s">
        <v>14</v>
      </c>
      <c r="B19" s="171" t="s">
        <v>39</v>
      </c>
      <c r="C19" s="171" t="s">
        <v>15</v>
      </c>
      <c r="D19" s="168" t="s">
        <v>60</v>
      </c>
      <c r="E19" s="168"/>
      <c r="F19" s="168"/>
      <c r="G19" s="168"/>
      <c r="H19" s="168"/>
      <c r="I19" s="168" t="s">
        <v>37</v>
      </c>
      <c r="J19" s="168"/>
      <c r="K19" s="163" t="s">
        <v>38</v>
      </c>
    </row>
    <row r="20" spans="1:13" ht="30.6" x14ac:dyDescent="0.3">
      <c r="A20" s="170"/>
      <c r="B20" s="172" t="s">
        <v>39</v>
      </c>
      <c r="C20" s="172"/>
      <c r="D20" s="49" t="s">
        <v>16</v>
      </c>
      <c r="E20" s="49" t="s">
        <v>57</v>
      </c>
      <c r="F20" s="49" t="s">
        <v>59</v>
      </c>
      <c r="G20" s="49" t="s">
        <v>17</v>
      </c>
      <c r="H20" s="49" t="s">
        <v>18</v>
      </c>
      <c r="I20" s="49" t="s">
        <v>19</v>
      </c>
      <c r="J20" s="49" t="s">
        <v>20</v>
      </c>
      <c r="K20" s="164"/>
    </row>
    <row r="21" spans="1:13" x14ac:dyDescent="0.3">
      <c r="A21" s="42">
        <v>1</v>
      </c>
      <c r="B21" s="43" t="s">
        <v>21</v>
      </c>
      <c r="C21" s="44">
        <v>8</v>
      </c>
      <c r="D21" s="45">
        <v>8</v>
      </c>
      <c r="E21" s="45">
        <v>0</v>
      </c>
      <c r="F21" s="61">
        <f>IF(E21="","",E21*$K$14)</f>
        <v>0</v>
      </c>
      <c r="G21" s="46">
        <f ca="1">IF(D21="","",$K$6)</f>
        <v>25</v>
      </c>
      <c r="H21" s="47">
        <f ca="1">IF(D21="","",D21*$K$12*$K$6)</f>
        <v>2300</v>
      </c>
      <c r="I21" s="45">
        <f>'Service Notes'!AH13</f>
        <v>6</v>
      </c>
      <c r="J21" s="47">
        <f>IF(D21="","",D21*I21*$K$13)</f>
        <v>4632</v>
      </c>
      <c r="K21" s="48">
        <f ca="1">IF(D21="","",F21+H21+J21)</f>
        <v>6932</v>
      </c>
      <c r="L21" s="65"/>
    </row>
    <row r="22" spans="1:13" x14ac:dyDescent="0.3">
      <c r="A22" s="19">
        <v>2</v>
      </c>
      <c r="B22" s="20" t="s">
        <v>22</v>
      </c>
      <c r="C22" s="21">
        <v>73</v>
      </c>
      <c r="D22" s="22">
        <v>11</v>
      </c>
      <c r="E22" s="22">
        <v>0</v>
      </c>
      <c r="F22" s="61">
        <f t="shared" ref="F22:F33" si="0">IF(E22="","",E22*$K$14)</f>
        <v>0</v>
      </c>
      <c r="G22" s="23">
        <f t="shared" ref="G22:G33" ca="1" si="1">IF(D22="","",$K$6)</f>
        <v>25</v>
      </c>
      <c r="H22" s="47">
        <f t="shared" ref="H22:H32" ca="1" si="2">IF(D22="","",D22*$K$12*$K$6)</f>
        <v>3162.5</v>
      </c>
      <c r="I22" s="45">
        <f>'Service Notes'!AH14</f>
        <v>7</v>
      </c>
      <c r="J22" s="47">
        <f t="shared" ref="J22:J33" si="3">IF(D22="","",D22*I22*$K$13)</f>
        <v>7430.5</v>
      </c>
      <c r="K22" s="48">
        <f t="shared" ref="K22:K33" ca="1" si="4">IF(D22="","",F22+H22+J22)</f>
        <v>10593</v>
      </c>
    </row>
    <row r="23" spans="1:13" x14ac:dyDescent="0.3">
      <c r="A23" s="19">
        <v>3</v>
      </c>
      <c r="B23" s="20" t="s">
        <v>23</v>
      </c>
      <c r="C23" s="21">
        <v>49</v>
      </c>
      <c r="D23" s="22">
        <v>30</v>
      </c>
      <c r="E23" s="22">
        <v>0</v>
      </c>
      <c r="F23" s="61">
        <f t="shared" si="0"/>
        <v>0</v>
      </c>
      <c r="G23" s="23">
        <f t="shared" ca="1" si="1"/>
        <v>25</v>
      </c>
      <c r="H23" s="47">
        <f t="shared" ca="1" si="2"/>
        <v>8625</v>
      </c>
      <c r="I23" s="45">
        <f>'Service Notes'!AH15</f>
        <v>6</v>
      </c>
      <c r="J23" s="47">
        <f t="shared" si="3"/>
        <v>17370</v>
      </c>
      <c r="K23" s="48">
        <f t="shared" ca="1" si="4"/>
        <v>25995</v>
      </c>
    </row>
    <row r="24" spans="1:13" x14ac:dyDescent="0.3">
      <c r="A24" s="19">
        <v>4</v>
      </c>
      <c r="B24" s="20" t="s">
        <v>24</v>
      </c>
      <c r="C24" s="21">
        <v>49</v>
      </c>
      <c r="D24" s="22">
        <v>160</v>
      </c>
      <c r="E24" s="22">
        <v>0</v>
      </c>
      <c r="F24" s="61">
        <f t="shared" si="0"/>
        <v>0</v>
      </c>
      <c r="G24" s="23">
        <f t="shared" ca="1" si="1"/>
        <v>25</v>
      </c>
      <c r="H24" s="47">
        <f t="shared" ca="1" si="2"/>
        <v>46000</v>
      </c>
      <c r="I24" s="45">
        <f>'Service Notes'!AH16</f>
        <v>6</v>
      </c>
      <c r="J24" s="47">
        <f t="shared" si="3"/>
        <v>92640</v>
      </c>
      <c r="K24" s="48">
        <f t="shared" ca="1" si="4"/>
        <v>138640</v>
      </c>
      <c r="M24" s="7"/>
    </row>
    <row r="25" spans="1:13" x14ac:dyDescent="0.3">
      <c r="A25" s="19">
        <v>5</v>
      </c>
      <c r="B25" s="20" t="s">
        <v>25</v>
      </c>
      <c r="C25" s="21">
        <v>95</v>
      </c>
      <c r="D25" s="22">
        <v>50</v>
      </c>
      <c r="E25" s="22">
        <v>0</v>
      </c>
      <c r="F25" s="61">
        <f t="shared" si="0"/>
        <v>0</v>
      </c>
      <c r="G25" s="23">
        <f t="shared" ca="1" si="1"/>
        <v>25</v>
      </c>
      <c r="H25" s="47">
        <f t="shared" ca="1" si="2"/>
        <v>14375</v>
      </c>
      <c r="I25" s="45">
        <f>'Service Notes'!AH17</f>
        <v>6</v>
      </c>
      <c r="J25" s="47">
        <f t="shared" si="3"/>
        <v>28950</v>
      </c>
      <c r="K25" s="48">
        <f t="shared" ca="1" si="4"/>
        <v>43325</v>
      </c>
    </row>
    <row r="26" spans="1:13" x14ac:dyDescent="0.3">
      <c r="A26" s="19">
        <v>6</v>
      </c>
      <c r="B26" s="20" t="s">
        <v>26</v>
      </c>
      <c r="C26" s="21">
        <v>95</v>
      </c>
      <c r="D26" s="22">
        <v>60</v>
      </c>
      <c r="E26" s="22">
        <v>0</v>
      </c>
      <c r="F26" s="61">
        <f t="shared" si="0"/>
        <v>0</v>
      </c>
      <c r="G26" s="23">
        <f t="shared" ca="1" si="1"/>
        <v>25</v>
      </c>
      <c r="H26" s="47">
        <f t="shared" ca="1" si="2"/>
        <v>17250</v>
      </c>
      <c r="I26" s="45">
        <f>'Service Notes'!AH18</f>
        <v>8</v>
      </c>
      <c r="J26" s="47">
        <f t="shared" si="3"/>
        <v>46320</v>
      </c>
      <c r="K26" s="48">
        <f t="shared" ca="1" si="4"/>
        <v>63570</v>
      </c>
    </row>
    <row r="27" spans="1:13" x14ac:dyDescent="0.3">
      <c r="A27" s="19">
        <v>7</v>
      </c>
      <c r="B27" s="20" t="s">
        <v>27</v>
      </c>
      <c r="C27" s="21">
        <v>95</v>
      </c>
      <c r="D27" s="22">
        <v>10</v>
      </c>
      <c r="E27" s="22">
        <v>0</v>
      </c>
      <c r="F27" s="61">
        <f t="shared" si="0"/>
        <v>0</v>
      </c>
      <c r="G27" s="23">
        <f t="shared" ca="1" si="1"/>
        <v>25</v>
      </c>
      <c r="H27" s="47">
        <f t="shared" ca="1" si="2"/>
        <v>2875</v>
      </c>
      <c r="I27" s="45">
        <f>'Service Notes'!AH19</f>
        <v>7</v>
      </c>
      <c r="J27" s="47">
        <f>IF(D27="","",D27*I27*$K$13)</f>
        <v>6755</v>
      </c>
      <c r="K27" s="48">
        <f t="shared" ca="1" si="4"/>
        <v>9630</v>
      </c>
    </row>
    <row r="28" spans="1:13" x14ac:dyDescent="0.3">
      <c r="A28" s="19">
        <v>8</v>
      </c>
      <c r="B28" s="20" t="s">
        <v>28</v>
      </c>
      <c r="C28" s="21">
        <v>95</v>
      </c>
      <c r="D28" s="22">
        <v>40</v>
      </c>
      <c r="E28" s="22">
        <v>0</v>
      </c>
      <c r="F28" s="61">
        <f t="shared" si="0"/>
        <v>0</v>
      </c>
      <c r="G28" s="23">
        <f t="shared" ca="1" si="1"/>
        <v>25</v>
      </c>
      <c r="H28" s="47">
        <f t="shared" ca="1" si="2"/>
        <v>11500</v>
      </c>
      <c r="I28" s="45">
        <f>'Service Notes'!AH20</f>
        <v>7</v>
      </c>
      <c r="J28" s="47">
        <f t="shared" si="3"/>
        <v>27020</v>
      </c>
      <c r="K28" s="48">
        <f t="shared" ca="1" si="4"/>
        <v>38520</v>
      </c>
    </row>
    <row r="29" spans="1:13" x14ac:dyDescent="0.3">
      <c r="A29" s="19">
        <v>9</v>
      </c>
      <c r="B29" s="20" t="s">
        <v>29</v>
      </c>
      <c r="C29" s="21">
        <v>95</v>
      </c>
      <c r="D29" s="22">
        <v>3</v>
      </c>
      <c r="E29" s="22">
        <v>0</v>
      </c>
      <c r="F29" s="61">
        <f t="shared" si="0"/>
        <v>0</v>
      </c>
      <c r="G29" s="23">
        <f t="shared" ca="1" si="1"/>
        <v>25</v>
      </c>
      <c r="H29" s="47">
        <f t="shared" ca="1" si="2"/>
        <v>862.5</v>
      </c>
      <c r="I29" s="45">
        <f>'Service Notes'!AH21</f>
        <v>7</v>
      </c>
      <c r="J29" s="47">
        <f t="shared" si="3"/>
        <v>2026.5</v>
      </c>
      <c r="K29" s="48">
        <f t="shared" ca="1" si="4"/>
        <v>2889</v>
      </c>
      <c r="L29" s="6"/>
    </row>
    <row r="30" spans="1:13" x14ac:dyDescent="0.3">
      <c r="A30" s="19">
        <v>10</v>
      </c>
      <c r="B30" s="20" t="s">
        <v>30</v>
      </c>
      <c r="C30" s="21">
        <v>13</v>
      </c>
      <c r="D30" s="22">
        <v>70</v>
      </c>
      <c r="E30" s="22">
        <v>0</v>
      </c>
      <c r="F30" s="61">
        <f t="shared" si="0"/>
        <v>0</v>
      </c>
      <c r="G30" s="23">
        <f t="shared" ca="1" si="1"/>
        <v>25</v>
      </c>
      <c r="H30" s="47">
        <f t="shared" ca="1" si="2"/>
        <v>20125</v>
      </c>
      <c r="I30" s="45">
        <f>'Service Notes'!AH22</f>
        <v>8</v>
      </c>
      <c r="J30" s="47">
        <f t="shared" si="3"/>
        <v>54040</v>
      </c>
      <c r="K30" s="48">
        <f t="shared" ca="1" si="4"/>
        <v>74165</v>
      </c>
    </row>
    <row r="31" spans="1:13" x14ac:dyDescent="0.3">
      <c r="A31" s="19">
        <v>11</v>
      </c>
      <c r="B31" s="20" t="s">
        <v>31</v>
      </c>
      <c r="C31" s="21">
        <v>75</v>
      </c>
      <c r="D31" s="22">
        <v>80</v>
      </c>
      <c r="E31" s="22">
        <v>0</v>
      </c>
      <c r="F31" s="61">
        <f t="shared" si="0"/>
        <v>0</v>
      </c>
      <c r="G31" s="23">
        <f t="shared" ca="1" si="1"/>
        <v>25</v>
      </c>
      <c r="H31" s="47">
        <f t="shared" ca="1" si="2"/>
        <v>23000</v>
      </c>
      <c r="I31" s="45">
        <f>'Service Notes'!AH23</f>
        <v>7</v>
      </c>
      <c r="J31" s="47">
        <f t="shared" si="3"/>
        <v>54040</v>
      </c>
      <c r="K31" s="48">
        <f t="shared" ca="1" si="4"/>
        <v>77040</v>
      </c>
      <c r="L31" s="6"/>
    </row>
    <row r="32" spans="1:13" x14ac:dyDescent="0.3">
      <c r="A32" s="19">
        <v>12</v>
      </c>
      <c r="B32" s="20" t="s">
        <v>32</v>
      </c>
      <c r="C32" s="21">
        <v>8</v>
      </c>
      <c r="D32" s="22">
        <v>59</v>
      </c>
      <c r="E32" s="22">
        <v>0</v>
      </c>
      <c r="F32" s="61">
        <f t="shared" si="0"/>
        <v>0</v>
      </c>
      <c r="G32" s="23">
        <f t="shared" ca="1" si="1"/>
        <v>25</v>
      </c>
      <c r="H32" s="47">
        <f t="shared" ca="1" si="2"/>
        <v>16962.5</v>
      </c>
      <c r="I32" s="45">
        <f>'Service Notes'!AH24</f>
        <v>7</v>
      </c>
      <c r="J32" s="47">
        <f t="shared" si="3"/>
        <v>39854.5</v>
      </c>
      <c r="K32" s="48">
        <f t="shared" ca="1" si="4"/>
        <v>56817</v>
      </c>
    </row>
    <row r="33" spans="1:12" x14ac:dyDescent="0.3">
      <c r="A33" s="19">
        <v>13</v>
      </c>
      <c r="B33" s="20" t="s">
        <v>33</v>
      </c>
      <c r="C33" s="21">
        <v>49</v>
      </c>
      <c r="D33" s="22">
        <v>15</v>
      </c>
      <c r="E33" s="22">
        <v>0</v>
      </c>
      <c r="F33" s="61">
        <f t="shared" si="0"/>
        <v>0</v>
      </c>
      <c r="G33" s="23">
        <f t="shared" ca="1" si="1"/>
        <v>25</v>
      </c>
      <c r="H33" s="47">
        <f ca="1">IF(D33="","",D33*$K$12*$K$6)</f>
        <v>4312.5</v>
      </c>
      <c r="I33" s="45">
        <f>'Service Notes'!AH25</f>
        <v>7</v>
      </c>
      <c r="J33" s="47">
        <f t="shared" si="3"/>
        <v>10132.5</v>
      </c>
      <c r="K33" s="48">
        <f t="shared" ca="1" si="4"/>
        <v>14445</v>
      </c>
    </row>
    <row r="34" spans="1:12" x14ac:dyDescent="0.3">
      <c r="A34" s="19">
        <v>14</v>
      </c>
      <c r="B34" s="26"/>
      <c r="C34" s="27"/>
      <c r="D34" s="22"/>
      <c r="E34" s="22"/>
      <c r="F34" s="62"/>
      <c r="G34" s="23" t="str">
        <f>IF(D34="","",$K$13)</f>
        <v/>
      </c>
      <c r="H34" s="24" t="str">
        <f t="shared" ref="H34:H35" si="5">IF(D34="","",D34*$K$13*$K$14)</f>
        <v/>
      </c>
      <c r="I34" s="113"/>
      <c r="J34" s="24" t="str">
        <f t="shared" ref="J34:J35" si="6">IF(D34="","",D34*I34*$K$15)</f>
        <v/>
      </c>
      <c r="K34" s="25" t="str">
        <f t="shared" ref="K34" si="7">IF(D34="","",H34+J34)</f>
        <v/>
      </c>
    </row>
    <row r="35" spans="1:12" x14ac:dyDescent="0.3">
      <c r="A35" s="11">
        <v>15</v>
      </c>
      <c r="B35" s="12"/>
      <c r="C35" s="17"/>
      <c r="D35" s="13"/>
      <c r="E35" s="13"/>
      <c r="F35" s="63"/>
      <c r="G35" s="14" t="str">
        <f>IF(D35="","",$K$13)</f>
        <v/>
      </c>
      <c r="H35" s="15" t="str">
        <f t="shared" si="5"/>
        <v/>
      </c>
      <c r="I35" s="13"/>
      <c r="J35" s="15" t="str">
        <f t="shared" si="6"/>
        <v/>
      </c>
      <c r="K35" s="16"/>
    </row>
    <row r="36" spans="1:12" x14ac:dyDescent="0.3">
      <c r="A36" s="1"/>
      <c r="B36" s="9"/>
      <c r="C36" s="9"/>
      <c r="D36" s="9"/>
      <c r="E36" s="9"/>
      <c r="F36" s="9"/>
      <c r="G36" s="9"/>
      <c r="H36" s="3"/>
      <c r="I36" s="3"/>
      <c r="J36" s="4"/>
    </row>
    <row r="37" spans="1:12" x14ac:dyDescent="0.3">
      <c r="A37" s="50"/>
      <c r="B37" s="51" t="s">
        <v>50</v>
      </c>
      <c r="C37" s="51"/>
      <c r="D37" s="52">
        <f>SUM(D21:D35)</f>
        <v>596</v>
      </c>
      <c r="E37" s="52">
        <f>SUM(E21:E35)</f>
        <v>0</v>
      </c>
      <c r="F37" s="54">
        <f>SUM(F21:F35)</f>
        <v>0</v>
      </c>
      <c r="G37" s="53"/>
      <c r="H37" s="54">
        <f ca="1">SUM(H21:H35)</f>
        <v>171350</v>
      </c>
      <c r="I37" s="53"/>
      <c r="J37" s="54">
        <f>SUM(J21:J35)</f>
        <v>391211</v>
      </c>
      <c r="K37" s="55">
        <f ca="1">SUM(F37,H37,J37)</f>
        <v>562561</v>
      </c>
      <c r="L37" s="65">
        <f ca="1">SUM(K21:K33)</f>
        <v>562561</v>
      </c>
    </row>
    <row r="38" spans="1:12" x14ac:dyDescent="0.3">
      <c r="A38" s="1"/>
      <c r="B38" s="9"/>
      <c r="C38" s="9"/>
      <c r="D38" s="9"/>
      <c r="E38" s="9"/>
      <c r="F38" s="9"/>
      <c r="G38" s="9"/>
      <c r="J38" s="3" t="s">
        <v>36</v>
      </c>
      <c r="K38" s="29">
        <f ca="1">K37*15%</f>
        <v>84384.15</v>
      </c>
    </row>
    <row r="39" spans="1:12" ht="15.6" x14ac:dyDescent="0.3">
      <c r="A39" s="174" t="s">
        <v>34</v>
      </c>
      <c r="B39" s="174"/>
      <c r="C39" s="174"/>
      <c r="D39" s="174"/>
      <c r="E39" s="59"/>
      <c r="F39" s="59"/>
      <c r="G39" s="33"/>
      <c r="H39" s="175" t="s">
        <v>51</v>
      </c>
      <c r="I39" s="175"/>
      <c r="J39" s="175"/>
      <c r="K39" s="56">
        <f ca="1">K37+K38</f>
        <v>646945.15</v>
      </c>
    </row>
    <row r="40" spans="1:12" x14ac:dyDescent="0.3">
      <c r="A40" s="39" t="s">
        <v>40</v>
      </c>
      <c r="B40" s="40"/>
      <c r="C40" s="40"/>
      <c r="D40" s="40"/>
      <c r="E40" s="40"/>
      <c r="F40" s="40"/>
      <c r="G40" s="5"/>
      <c r="H40" s="5"/>
      <c r="I40" s="5"/>
      <c r="J40" s="5"/>
    </row>
    <row r="41" spans="1:12" x14ac:dyDescent="0.3">
      <c r="A41" s="39" t="s">
        <v>41</v>
      </c>
      <c r="B41" s="40"/>
      <c r="C41" s="40"/>
      <c r="D41" s="40"/>
      <c r="E41" s="40"/>
      <c r="F41" s="40"/>
      <c r="G41" s="31"/>
      <c r="H41" s="31"/>
      <c r="I41" s="31"/>
      <c r="J41" s="31"/>
      <c r="K41" s="31"/>
    </row>
    <row r="42" spans="1:12" x14ac:dyDescent="0.3">
      <c r="A42" s="40" t="s">
        <v>42</v>
      </c>
      <c r="B42" s="40"/>
      <c r="C42" s="40"/>
      <c r="D42" s="40"/>
      <c r="E42" s="40"/>
      <c r="F42" s="40"/>
      <c r="H42" s="30"/>
      <c r="I42" s="30"/>
      <c r="J42" s="30"/>
      <c r="K42" s="30"/>
    </row>
    <row r="43" spans="1:12" x14ac:dyDescent="0.3">
      <c r="A43" s="40" t="s">
        <v>43</v>
      </c>
      <c r="B43" s="40"/>
      <c r="C43" s="40"/>
      <c r="D43" s="40"/>
      <c r="E43" s="40"/>
      <c r="F43" s="40"/>
      <c r="H43" s="32"/>
      <c r="I43" s="32"/>
      <c r="J43" s="32"/>
      <c r="K43" s="32"/>
    </row>
    <row r="44" spans="1:12" x14ac:dyDescent="0.3">
      <c r="A44" s="34"/>
      <c r="B44" s="34"/>
      <c r="C44" s="34"/>
      <c r="D44" s="34"/>
      <c r="E44" s="34"/>
      <c r="F44" s="34"/>
      <c r="H44" s="41" t="s">
        <v>45</v>
      </c>
      <c r="I44" s="41"/>
      <c r="J44" s="41"/>
      <c r="K44" s="41"/>
    </row>
    <row r="45" spans="1:12" x14ac:dyDescent="0.3">
      <c r="A45" s="34"/>
      <c r="B45" s="34"/>
      <c r="C45" s="34"/>
      <c r="D45" s="34"/>
      <c r="E45" s="34"/>
      <c r="F45" s="34"/>
      <c r="H45" s="30"/>
      <c r="I45" s="30"/>
      <c r="J45" s="30"/>
      <c r="K45" s="30"/>
    </row>
    <row r="46" spans="1:12" x14ac:dyDescent="0.3">
      <c r="A46" s="153"/>
      <c r="B46" s="153"/>
      <c r="C46" s="153"/>
      <c r="D46" s="153"/>
      <c r="E46" s="30"/>
      <c r="F46" s="30"/>
      <c r="H46" s="32"/>
      <c r="I46" s="32"/>
      <c r="J46" s="32"/>
      <c r="K46" s="32"/>
    </row>
    <row r="47" spans="1:12" x14ac:dyDescent="0.3">
      <c r="A47" s="41" t="s">
        <v>44</v>
      </c>
      <c r="B47" s="41"/>
      <c r="C47" s="41"/>
      <c r="D47" s="41"/>
      <c r="E47" s="41"/>
      <c r="F47" s="41"/>
      <c r="H47" s="30" t="s">
        <v>1</v>
      </c>
      <c r="I47" s="30"/>
      <c r="J47" s="30"/>
      <c r="K47" s="30"/>
    </row>
    <row r="48" spans="1:12" x14ac:dyDescent="0.3">
      <c r="A48" s="30"/>
      <c r="B48" s="30"/>
      <c r="C48" s="30"/>
      <c r="D48" s="30"/>
      <c r="E48" s="30"/>
      <c r="F48" s="30"/>
      <c r="H48" s="30"/>
      <c r="I48" s="30"/>
      <c r="J48" s="30"/>
      <c r="K48" s="30"/>
    </row>
    <row r="49" spans="1:11" x14ac:dyDescent="0.3">
      <c r="A49" s="154" t="str">
        <f ca="1">K4</f>
        <v>26 May 2026</v>
      </c>
      <c r="B49" s="173"/>
      <c r="C49" s="173"/>
      <c r="D49" s="173"/>
      <c r="E49" s="60"/>
      <c r="F49" s="60"/>
      <c r="H49" s="155"/>
      <c r="I49" s="153"/>
      <c r="J49" s="153"/>
      <c r="K49" s="153"/>
    </row>
    <row r="50" spans="1:11" ht="25.05" customHeight="1" x14ac:dyDescent="0.3">
      <c r="A50" s="41" t="s">
        <v>0</v>
      </c>
      <c r="B50" s="30"/>
      <c r="C50" s="30"/>
      <c r="D50" s="30"/>
      <c r="E50" s="30"/>
      <c r="F50" s="30"/>
      <c r="H50" s="41" t="s">
        <v>0</v>
      </c>
      <c r="I50" s="30"/>
      <c r="J50" s="30"/>
      <c r="K50" s="30"/>
    </row>
  </sheetData>
  <mergeCells count="37">
    <mergeCell ref="A49:D49"/>
    <mergeCell ref="A46:D46"/>
    <mergeCell ref="H49:K49"/>
    <mergeCell ref="A5:G5"/>
    <mergeCell ref="A6:G6"/>
    <mergeCell ref="A7:G7"/>
    <mergeCell ref="A39:D39"/>
    <mergeCell ref="H39:J39"/>
    <mergeCell ref="A8:G8"/>
    <mergeCell ref="A10:G10"/>
    <mergeCell ref="H10:J10"/>
    <mergeCell ref="A11:G11"/>
    <mergeCell ref="A12:G12"/>
    <mergeCell ref="A13:G13"/>
    <mergeCell ref="A14:G14"/>
    <mergeCell ref="D19:H19"/>
    <mergeCell ref="A19:A20"/>
    <mergeCell ref="B19:B20"/>
    <mergeCell ref="C19:C20"/>
    <mergeCell ref="H13:J13"/>
    <mergeCell ref="H14:J14"/>
    <mergeCell ref="H8:J8"/>
    <mergeCell ref="K19:K20"/>
    <mergeCell ref="J1:K1"/>
    <mergeCell ref="H9:J9"/>
    <mergeCell ref="H11:J11"/>
    <mergeCell ref="H12:J12"/>
    <mergeCell ref="A1:I1"/>
    <mergeCell ref="A3:G3"/>
    <mergeCell ref="A4:G4"/>
    <mergeCell ref="H3:J3"/>
    <mergeCell ref="H4:J4"/>
    <mergeCell ref="H5:J5"/>
    <mergeCell ref="H6:J6"/>
    <mergeCell ref="H7:J7"/>
    <mergeCell ref="H15:J15"/>
    <mergeCell ref="I19:J19"/>
  </mergeCells>
  <phoneticPr fontId="11" type="noConversion"/>
  <dataValidations count="1">
    <dataValidation type="whole" operator="greaterThanOrEqual" showErrorMessage="1" errorTitle="Invalid" error="Enter a whole number ≥ 0" sqref="D21:F35 I21:I35" xr:uid="{C6D762D9-E729-416C-B9B8-C414A1A3C1A1}">
      <formula1>0</formula1>
      <formula2>0</formula2>
    </dataValidation>
  </dataValidations>
  <pageMargins left="0.7" right="0.7" top="1.542" bottom="0.75" header="0.3" footer="0.3"/>
  <pageSetup paperSize="9" scale="66" fitToHeight="0" orientation="portrait" r:id="rId1"/>
  <headerFooter>
    <oddHeader>&amp;L&amp;"-,Bold"&amp;22TAX INVOICE&amp;10
&amp;9SITHEMBE TRANSPORTATION AND PROJECTS  &amp;"-,Regular"
VAT No: 4070272101  
285 Erasmus Ave  
Raslouw AH  
Centuiron  
0157  &amp;R&amp;G</oddHeader>
    <oddFooter>&amp;Laccounts@sithembe.co.za&amp;Cwww.sithembe.co.za&amp;R012 880 3155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5C490-9475-4092-9D4D-DDA8F324246F}">
  <sheetPr>
    <pageSetUpPr fitToPage="1"/>
  </sheetPr>
  <dimension ref="A1:AH44"/>
  <sheetViews>
    <sheetView view="pageBreakPreview" topLeftCell="A22" zoomScaleNormal="100" zoomScaleSheetLayoutView="100" workbookViewId="0">
      <selection activeCell="D34" sqref="D34"/>
    </sheetView>
  </sheetViews>
  <sheetFormatPr defaultRowHeight="14.4" x14ac:dyDescent="0.3"/>
  <cols>
    <col min="1" max="1" width="9.6640625" customWidth="1"/>
    <col min="2" max="2" width="24.44140625" customWidth="1"/>
    <col min="3" max="18" width="6.88671875" bestFit="1" customWidth="1"/>
    <col min="19" max="33" width="6.88671875" style="72" bestFit="1" customWidth="1"/>
    <col min="34" max="34" width="5.5546875" bestFit="1" customWidth="1"/>
    <col min="35" max="35" width="12.44140625" bestFit="1" customWidth="1"/>
    <col min="36" max="38" width="10.77734375" customWidth="1"/>
  </cols>
  <sheetData>
    <row r="1" spans="1:34" ht="22.8" x14ac:dyDescent="0.3">
      <c r="A1" s="158" t="s">
        <v>47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9" t="s">
        <v>70</v>
      </c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  <c r="AC1" s="159"/>
      <c r="AD1" s="159"/>
      <c r="AE1" s="159"/>
      <c r="AF1" s="159"/>
      <c r="AG1" s="159"/>
      <c r="AH1" s="159"/>
    </row>
    <row r="2" spans="1:34" ht="1.95" customHeigh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10"/>
    </row>
    <row r="3" spans="1:34" x14ac:dyDescent="0.3">
      <c r="A3" s="160" t="s">
        <v>2</v>
      </c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76"/>
      <c r="O3" s="76"/>
      <c r="P3" s="76"/>
      <c r="Q3" s="57"/>
      <c r="R3" s="35"/>
      <c r="S3" s="80"/>
      <c r="T3" s="80"/>
      <c r="U3" s="80"/>
      <c r="V3" s="80"/>
      <c r="W3" s="80"/>
      <c r="X3" s="80"/>
      <c r="Y3" s="80"/>
      <c r="Z3" s="146" t="s">
        <v>6</v>
      </c>
      <c r="AA3" s="146"/>
      <c r="AB3" s="146"/>
      <c r="AC3" s="145" t="str">
        <f>'Invoice — Region 2'!K3</f>
        <v>STP/INV/26/0353</v>
      </c>
      <c r="AD3" s="145"/>
      <c r="AE3" s="145"/>
      <c r="AF3" s="145"/>
      <c r="AG3" s="145"/>
      <c r="AH3" s="145"/>
    </row>
    <row r="4" spans="1:34" x14ac:dyDescent="0.3">
      <c r="A4" s="160" t="s">
        <v>54</v>
      </c>
      <c r="B4" s="160"/>
      <c r="C4" s="160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76"/>
      <c r="O4" s="76"/>
      <c r="P4" s="76"/>
      <c r="Q4" s="57"/>
      <c r="R4" s="37"/>
      <c r="S4" s="82"/>
      <c r="T4" s="82"/>
      <c r="U4" s="82"/>
      <c r="V4" s="82"/>
      <c r="W4" s="82"/>
      <c r="X4" s="82"/>
      <c r="Y4" s="82"/>
      <c r="Z4" s="146" t="s">
        <v>3</v>
      </c>
      <c r="AA4" s="146"/>
      <c r="AB4" s="146"/>
      <c r="AC4" s="147" t="str">
        <f ca="1">'Invoice — Region 2'!K4</f>
        <v>26 May 2026</v>
      </c>
      <c r="AD4" s="147"/>
      <c r="AE4" s="147"/>
      <c r="AF4" s="147"/>
      <c r="AG4" s="147"/>
      <c r="AH4" s="147"/>
    </row>
    <row r="5" spans="1:34" x14ac:dyDescent="0.3">
      <c r="A5" s="160" t="s">
        <v>55</v>
      </c>
      <c r="B5" s="160"/>
      <c r="C5" s="160"/>
      <c r="D5" s="160"/>
      <c r="E5" s="160"/>
      <c r="F5" s="160"/>
      <c r="G5" s="160"/>
      <c r="H5" s="160"/>
      <c r="I5" s="160"/>
      <c r="J5" s="160"/>
      <c r="K5" s="160"/>
      <c r="L5" s="160"/>
      <c r="M5" s="160"/>
      <c r="N5" s="76"/>
      <c r="O5" s="76"/>
      <c r="P5" s="76"/>
      <c r="Q5" s="57"/>
      <c r="R5" s="35"/>
      <c r="S5" s="80"/>
      <c r="T5" s="80"/>
      <c r="U5" s="80"/>
      <c r="V5" s="80"/>
      <c r="W5" s="80"/>
      <c r="X5" s="80"/>
      <c r="Y5" s="80"/>
      <c r="Z5" s="146" t="s">
        <v>4</v>
      </c>
      <c r="AA5" s="146"/>
      <c r="AB5" s="146"/>
      <c r="AC5" s="145" t="str">
        <f ca="1">'Invoice — Region 2'!K5</f>
        <v>May 26 (01 May - 25 May)</v>
      </c>
      <c r="AD5" s="145"/>
      <c r="AE5" s="145"/>
      <c r="AF5" s="145"/>
      <c r="AG5" s="145"/>
      <c r="AH5" s="145"/>
    </row>
    <row r="6" spans="1:34" x14ac:dyDescent="0.3">
      <c r="A6" s="160" t="s">
        <v>46</v>
      </c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76"/>
      <c r="O6" s="76"/>
      <c r="P6" s="76"/>
      <c r="Q6" s="57"/>
      <c r="R6" s="35"/>
      <c r="S6" s="80"/>
      <c r="T6" s="80"/>
      <c r="U6" s="80"/>
      <c r="V6" s="80"/>
      <c r="W6" s="80"/>
      <c r="X6" s="80"/>
      <c r="Y6" s="80"/>
      <c r="Z6" s="146" t="s">
        <v>11</v>
      </c>
      <c r="AA6" s="146"/>
      <c r="AB6" s="146"/>
      <c r="AC6" s="145">
        <f ca="1">'Invoice — Region 2'!K6</f>
        <v>25</v>
      </c>
      <c r="AD6" s="145"/>
      <c r="AE6" s="145"/>
      <c r="AF6" s="145"/>
      <c r="AG6" s="145"/>
      <c r="AH6" s="145"/>
    </row>
    <row r="7" spans="1:34" x14ac:dyDescent="0.3">
      <c r="A7" s="160" t="s">
        <v>56</v>
      </c>
      <c r="B7" s="160"/>
      <c r="C7" s="160"/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76"/>
      <c r="O7" s="76"/>
      <c r="P7" s="76"/>
      <c r="Q7" s="57"/>
      <c r="R7" s="38"/>
      <c r="S7" s="81"/>
      <c r="T7" s="81"/>
      <c r="U7" s="81"/>
      <c r="V7" s="81"/>
      <c r="W7" s="81"/>
      <c r="X7" s="81"/>
      <c r="Y7" s="81"/>
      <c r="Z7" s="146" t="s">
        <v>5</v>
      </c>
      <c r="AA7" s="146"/>
      <c r="AB7" s="146"/>
      <c r="AC7" s="148" t="str">
        <f>IF('Invoice — Region 2'!AA7="","",'Invoice — Region 2'!AA7)</f>
        <v/>
      </c>
      <c r="AD7" s="148"/>
      <c r="AE7" s="148"/>
      <c r="AF7" s="148"/>
      <c r="AG7" s="148"/>
      <c r="AH7" s="148"/>
    </row>
    <row r="8" spans="1:34" x14ac:dyDescent="0.3">
      <c r="A8" s="157" t="s">
        <v>63</v>
      </c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76"/>
      <c r="O8" s="76"/>
      <c r="P8" s="76"/>
      <c r="Q8" s="57"/>
      <c r="R8" s="35"/>
      <c r="S8" s="80"/>
      <c r="T8" s="80"/>
      <c r="U8" s="80"/>
      <c r="V8" s="80"/>
      <c r="W8" s="80"/>
      <c r="X8" s="80"/>
      <c r="Y8" s="80"/>
      <c r="Z8" s="146" t="s">
        <v>9</v>
      </c>
      <c r="AA8" s="146"/>
      <c r="AB8" s="146"/>
      <c r="AC8" s="145" t="str">
        <f>'Invoice — Region 2'!K11</f>
        <v>Region 2</v>
      </c>
      <c r="AD8" s="145"/>
      <c r="AE8" s="145"/>
      <c r="AF8" s="145"/>
      <c r="AG8" s="145"/>
      <c r="AH8" s="145"/>
    </row>
    <row r="9" spans="1:34" x14ac:dyDescent="0.3">
      <c r="A9" s="75"/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6"/>
      <c r="O9" s="76"/>
      <c r="P9" s="76"/>
      <c r="Q9" s="57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</row>
    <row r="10" spans="1:34" x14ac:dyDescent="0.3">
      <c r="Q10" s="2"/>
      <c r="R10" s="2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28"/>
    </row>
    <row r="11" spans="1:34" x14ac:dyDescent="0.3">
      <c r="A11" s="161" t="s">
        <v>61</v>
      </c>
      <c r="B11" s="161"/>
      <c r="C11" s="114"/>
      <c r="D11" s="114"/>
      <c r="E11" s="114"/>
      <c r="F11" s="114"/>
      <c r="G11" s="114"/>
      <c r="H11" s="115"/>
      <c r="I11" s="115"/>
      <c r="J11" s="116"/>
      <c r="K11" s="116"/>
      <c r="L11" s="114"/>
      <c r="M11" s="117"/>
      <c r="N11" s="117"/>
      <c r="O11" s="117"/>
      <c r="P11" s="117"/>
      <c r="Q11" s="117"/>
      <c r="R11" s="117"/>
      <c r="S11" s="118"/>
      <c r="T11" s="118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  <c r="AG11" s="116"/>
      <c r="AH11" s="162" t="s">
        <v>62</v>
      </c>
    </row>
    <row r="12" spans="1:34" x14ac:dyDescent="0.3">
      <c r="A12" s="161" t="s">
        <v>39</v>
      </c>
      <c r="B12" s="161"/>
      <c r="C12" s="127">
        <v>46082</v>
      </c>
      <c r="D12" s="119">
        <v>46083</v>
      </c>
      <c r="E12" s="119">
        <v>46084</v>
      </c>
      <c r="F12" s="119">
        <v>46085</v>
      </c>
      <c r="G12" s="119">
        <v>46086</v>
      </c>
      <c r="H12" s="119">
        <v>46087</v>
      </c>
      <c r="I12" s="125">
        <v>46088</v>
      </c>
      <c r="J12" s="127">
        <v>46089</v>
      </c>
      <c r="K12" s="119">
        <v>46090</v>
      </c>
      <c r="L12" s="119">
        <v>46091</v>
      </c>
      <c r="M12" s="119">
        <v>46092</v>
      </c>
      <c r="N12" s="119">
        <v>46093</v>
      </c>
      <c r="O12" s="119">
        <v>46094</v>
      </c>
      <c r="P12" s="125">
        <v>46095</v>
      </c>
      <c r="Q12" s="127">
        <v>46096</v>
      </c>
      <c r="R12" s="119">
        <v>46097</v>
      </c>
      <c r="S12" s="119">
        <v>46098</v>
      </c>
      <c r="T12" s="119">
        <v>46099</v>
      </c>
      <c r="U12" s="119">
        <v>46100</v>
      </c>
      <c r="V12" s="119">
        <v>46101</v>
      </c>
      <c r="W12" s="125">
        <v>46102</v>
      </c>
      <c r="X12" s="127">
        <v>46103</v>
      </c>
      <c r="Y12" s="119">
        <v>46104</v>
      </c>
      <c r="Z12" s="119">
        <v>46105</v>
      </c>
      <c r="AA12" s="119">
        <v>46106</v>
      </c>
      <c r="AB12" s="119">
        <v>46107</v>
      </c>
      <c r="AC12" s="119">
        <v>46108</v>
      </c>
      <c r="AD12" s="119">
        <v>46109</v>
      </c>
      <c r="AE12" s="119">
        <v>46110</v>
      </c>
      <c r="AF12" s="119">
        <v>46111</v>
      </c>
      <c r="AG12" s="119">
        <v>46112</v>
      </c>
      <c r="AH12" s="162"/>
    </row>
    <row r="13" spans="1:34" x14ac:dyDescent="0.3">
      <c r="A13" s="149" t="str">
        <f>'Invoice — Region 2'!B21</f>
        <v>Themba View</v>
      </c>
      <c r="B13" s="149"/>
      <c r="C13" s="128" t="b">
        <v>0</v>
      </c>
      <c r="D13" s="120" t="b">
        <v>0</v>
      </c>
      <c r="E13" s="120" t="b">
        <v>0</v>
      </c>
      <c r="F13" s="120" t="b">
        <v>1</v>
      </c>
      <c r="G13" s="120" t="b">
        <v>0</v>
      </c>
      <c r="H13" s="120" t="b">
        <v>0</v>
      </c>
      <c r="I13" s="126" t="b">
        <v>0</v>
      </c>
      <c r="J13" s="128" t="b">
        <v>0</v>
      </c>
      <c r="K13" s="120" t="b">
        <v>1</v>
      </c>
      <c r="L13" s="120" t="b">
        <v>0</v>
      </c>
      <c r="M13" s="120" t="b">
        <v>1</v>
      </c>
      <c r="N13" s="120" t="b">
        <v>0</v>
      </c>
      <c r="O13" s="120" t="b">
        <v>0</v>
      </c>
      <c r="P13" s="126" t="b">
        <v>0</v>
      </c>
      <c r="Q13" s="128" t="b">
        <v>0</v>
      </c>
      <c r="R13" s="120" t="b">
        <v>1</v>
      </c>
      <c r="S13" s="120" t="b">
        <v>0</v>
      </c>
      <c r="T13" s="120" t="b">
        <v>0</v>
      </c>
      <c r="U13" s="120" t="b">
        <v>0</v>
      </c>
      <c r="V13" s="120" t="b">
        <v>1</v>
      </c>
      <c r="W13" s="126" t="b">
        <v>0</v>
      </c>
      <c r="X13" s="128" t="b">
        <v>0</v>
      </c>
      <c r="Y13" s="120" t="b">
        <v>0</v>
      </c>
      <c r="Z13" s="120" t="b">
        <v>1</v>
      </c>
      <c r="AA13" s="120" t="b">
        <v>0</v>
      </c>
      <c r="AB13" s="120" t="b">
        <v>0</v>
      </c>
      <c r="AC13" s="120" t="b">
        <v>0</v>
      </c>
      <c r="AD13" s="120" t="b">
        <v>0</v>
      </c>
      <c r="AE13" s="120" t="b">
        <v>0</v>
      </c>
      <c r="AF13" s="120" t="b">
        <v>0</v>
      </c>
      <c r="AG13" s="120" t="b">
        <v>0</v>
      </c>
      <c r="AH13" s="121">
        <f t="shared" ref="AH13:AH25" si="0">COUNTIF(C13:AG13,TRUE)</f>
        <v>6</v>
      </c>
    </row>
    <row r="14" spans="1:34" x14ac:dyDescent="0.3">
      <c r="A14" s="149" t="str">
        <f>'Invoice — Region 2'!B22</f>
        <v>Marokolong</v>
      </c>
      <c r="B14" s="149"/>
      <c r="C14" s="128" t="b">
        <v>0</v>
      </c>
      <c r="D14" s="120" t="b">
        <v>0</v>
      </c>
      <c r="E14" s="120" t="b">
        <v>0</v>
      </c>
      <c r="F14" s="120" t="b">
        <v>1</v>
      </c>
      <c r="G14" s="120" t="b">
        <v>0</v>
      </c>
      <c r="H14" s="120" t="b">
        <v>0</v>
      </c>
      <c r="I14" s="126" t="b">
        <v>0</v>
      </c>
      <c r="J14" s="128" t="b">
        <v>0</v>
      </c>
      <c r="K14" s="120" t="b">
        <v>1</v>
      </c>
      <c r="L14" s="120" t="b">
        <v>0</v>
      </c>
      <c r="M14" s="120" t="b">
        <v>0</v>
      </c>
      <c r="N14" s="120" t="b">
        <v>1</v>
      </c>
      <c r="O14" s="120" t="b">
        <v>0</v>
      </c>
      <c r="P14" s="126" t="b">
        <v>0</v>
      </c>
      <c r="Q14" s="128" t="b">
        <v>0</v>
      </c>
      <c r="R14" s="120" t="b">
        <v>0</v>
      </c>
      <c r="S14" s="120" t="b">
        <v>1</v>
      </c>
      <c r="T14" s="120" t="b">
        <v>0</v>
      </c>
      <c r="U14" s="120" t="b">
        <v>0</v>
      </c>
      <c r="V14" s="120" t="b">
        <v>1</v>
      </c>
      <c r="W14" s="126" t="b">
        <v>0</v>
      </c>
      <c r="X14" s="128" t="b">
        <v>0</v>
      </c>
      <c r="Y14" s="120" t="b">
        <v>0</v>
      </c>
      <c r="Z14" s="120" t="b">
        <v>1</v>
      </c>
      <c r="AA14" s="120" t="b">
        <v>1</v>
      </c>
      <c r="AB14" s="120" t="b">
        <v>0</v>
      </c>
      <c r="AC14" s="120" t="b">
        <v>0</v>
      </c>
      <c r="AD14" s="120" t="b">
        <v>0</v>
      </c>
      <c r="AE14" s="120" t="b">
        <v>0</v>
      </c>
      <c r="AF14" s="120" t="b">
        <v>0</v>
      </c>
      <c r="AG14" s="120" t="b">
        <v>0</v>
      </c>
      <c r="AH14" s="121">
        <f t="shared" si="0"/>
        <v>7</v>
      </c>
    </row>
    <row r="15" spans="1:34" x14ac:dyDescent="0.3">
      <c r="A15" s="149" t="str">
        <f>'Invoice — Region 2'!B23</f>
        <v>Hammanskraal Ext 4</v>
      </c>
      <c r="B15" s="149"/>
      <c r="C15" s="128" t="b">
        <v>0</v>
      </c>
      <c r="D15" s="120" t="b">
        <v>0</v>
      </c>
      <c r="E15" s="120" t="b">
        <v>0</v>
      </c>
      <c r="F15" s="120" t="b">
        <v>1</v>
      </c>
      <c r="G15" s="120" t="b">
        <v>0</v>
      </c>
      <c r="H15" s="120" t="b">
        <v>0</v>
      </c>
      <c r="I15" s="126" t="b">
        <v>0</v>
      </c>
      <c r="J15" s="128" t="b">
        <v>0</v>
      </c>
      <c r="K15" s="120" t="b">
        <v>1</v>
      </c>
      <c r="L15" s="120" t="b">
        <v>0</v>
      </c>
      <c r="M15" s="120" t="b">
        <v>0</v>
      </c>
      <c r="N15" s="120" t="b">
        <v>0</v>
      </c>
      <c r="O15" s="120" t="b">
        <v>1</v>
      </c>
      <c r="P15" s="126" t="b">
        <v>0</v>
      </c>
      <c r="Q15" s="128" t="b">
        <v>0</v>
      </c>
      <c r="R15" s="120" t="b">
        <v>1</v>
      </c>
      <c r="S15" s="120" t="b">
        <v>0</v>
      </c>
      <c r="T15" s="120" t="b">
        <v>0</v>
      </c>
      <c r="U15" s="120" t="b">
        <v>1</v>
      </c>
      <c r="V15" s="120" t="b">
        <v>0</v>
      </c>
      <c r="W15" s="126" t="b">
        <v>0</v>
      </c>
      <c r="X15" s="128" t="b">
        <v>0</v>
      </c>
      <c r="Y15" s="120" t="b">
        <v>0</v>
      </c>
      <c r="Z15" s="120" t="b">
        <v>1</v>
      </c>
      <c r="AA15" s="120" t="b">
        <v>0</v>
      </c>
      <c r="AB15" s="120" t="b">
        <v>0</v>
      </c>
      <c r="AC15" s="120" t="b">
        <v>0</v>
      </c>
      <c r="AD15" s="120" t="b">
        <v>0</v>
      </c>
      <c r="AE15" s="120" t="b">
        <v>0</v>
      </c>
      <c r="AF15" s="120" t="b">
        <v>0</v>
      </c>
      <c r="AG15" s="120" t="b">
        <v>0</v>
      </c>
      <c r="AH15" s="121">
        <f t="shared" si="0"/>
        <v>6</v>
      </c>
    </row>
    <row r="16" spans="1:34" x14ac:dyDescent="0.3">
      <c r="A16" s="149" t="str">
        <f>'Invoice — Region 2'!B24</f>
        <v>Hammanskraal portion 9 &amp; 10</v>
      </c>
      <c r="B16" s="149"/>
      <c r="C16" s="128" t="b">
        <v>0</v>
      </c>
      <c r="D16" s="120" t="b">
        <v>0</v>
      </c>
      <c r="E16" s="120" t="b">
        <v>0</v>
      </c>
      <c r="F16" s="120" t="b">
        <v>1</v>
      </c>
      <c r="G16" s="120" t="b">
        <v>0</v>
      </c>
      <c r="H16" s="120" t="b">
        <v>1</v>
      </c>
      <c r="I16" s="126" t="b">
        <v>0</v>
      </c>
      <c r="J16" s="128" t="b">
        <v>0</v>
      </c>
      <c r="K16" s="120" t="b">
        <v>0</v>
      </c>
      <c r="L16" s="120" t="b">
        <v>1</v>
      </c>
      <c r="M16" s="120" t="b">
        <v>0</v>
      </c>
      <c r="N16" s="120" t="b">
        <v>0</v>
      </c>
      <c r="O16" s="120" t="b">
        <v>0</v>
      </c>
      <c r="P16" s="126" t="b">
        <v>0</v>
      </c>
      <c r="Q16" s="128" t="b">
        <v>0</v>
      </c>
      <c r="R16" s="120" t="b">
        <v>1</v>
      </c>
      <c r="S16" s="120" t="b">
        <v>0</v>
      </c>
      <c r="T16" s="120" t="b">
        <v>0</v>
      </c>
      <c r="U16" s="120" t="b">
        <v>1</v>
      </c>
      <c r="V16" s="120" t="b">
        <v>0</v>
      </c>
      <c r="W16" s="126" t="b">
        <v>0</v>
      </c>
      <c r="X16" s="128" t="b">
        <v>0</v>
      </c>
      <c r="Y16" s="120" t="b">
        <v>1</v>
      </c>
      <c r="Z16" s="120" t="b">
        <v>0</v>
      </c>
      <c r="AA16" s="120" t="b">
        <v>0</v>
      </c>
      <c r="AB16" s="120" t="b">
        <v>0</v>
      </c>
      <c r="AC16" s="120" t="b">
        <v>0</v>
      </c>
      <c r="AD16" s="120" t="b">
        <v>0</v>
      </c>
      <c r="AE16" s="120" t="b">
        <v>0</v>
      </c>
      <c r="AF16" s="120" t="b">
        <v>0</v>
      </c>
      <c r="AG16" s="120" t="b">
        <v>0</v>
      </c>
      <c r="AH16" s="121">
        <f t="shared" si="0"/>
        <v>6</v>
      </c>
    </row>
    <row r="17" spans="1:34" x14ac:dyDescent="0.3">
      <c r="A17" s="149" t="str">
        <f>'Invoice — Region 2'!B25</f>
        <v>Soshanguve X Buffer C</v>
      </c>
      <c r="B17" s="149"/>
      <c r="C17" s="128" t="b">
        <v>0</v>
      </c>
      <c r="D17" s="120" t="b">
        <v>0</v>
      </c>
      <c r="E17" s="120" t="b">
        <v>0</v>
      </c>
      <c r="F17" s="120" t="b">
        <v>0</v>
      </c>
      <c r="G17" s="120" t="b">
        <v>1</v>
      </c>
      <c r="H17" s="120" t="b">
        <v>0</v>
      </c>
      <c r="I17" s="126" t="b">
        <v>0</v>
      </c>
      <c r="J17" s="128" t="b">
        <v>0</v>
      </c>
      <c r="K17" s="120" t="b">
        <v>1</v>
      </c>
      <c r="L17" s="120" t="b">
        <v>0</v>
      </c>
      <c r="M17" s="120" t="b">
        <v>0</v>
      </c>
      <c r="N17" s="120" t="b">
        <v>0</v>
      </c>
      <c r="O17" s="120" t="b">
        <v>0</v>
      </c>
      <c r="P17" s="126" t="b">
        <v>1</v>
      </c>
      <c r="Q17" s="128" t="b">
        <v>0</v>
      </c>
      <c r="R17" s="120" t="b">
        <v>1</v>
      </c>
      <c r="S17" s="120" t="b">
        <v>0</v>
      </c>
      <c r="T17" s="120" t="b">
        <v>0</v>
      </c>
      <c r="U17" s="120" t="b">
        <v>1</v>
      </c>
      <c r="V17" s="120" t="b">
        <v>0</v>
      </c>
      <c r="W17" s="126" t="b">
        <v>0</v>
      </c>
      <c r="X17" s="128" t="b">
        <v>0</v>
      </c>
      <c r="Y17" s="120" t="b">
        <v>1</v>
      </c>
      <c r="Z17" s="120" t="b">
        <v>0</v>
      </c>
      <c r="AA17" s="120" t="b">
        <v>0</v>
      </c>
      <c r="AB17" s="120" t="b">
        <v>0</v>
      </c>
      <c r="AC17" s="120" t="b">
        <v>0</v>
      </c>
      <c r="AD17" s="120" t="b">
        <v>0</v>
      </c>
      <c r="AE17" s="120" t="b">
        <v>0</v>
      </c>
      <c r="AF17" s="120" t="b">
        <v>0</v>
      </c>
      <c r="AG17" s="120" t="b">
        <v>0</v>
      </c>
      <c r="AH17" s="121">
        <f t="shared" si="0"/>
        <v>6</v>
      </c>
    </row>
    <row r="18" spans="1:34" x14ac:dyDescent="0.3">
      <c r="A18" s="149" t="str">
        <f>'Invoice — Region 2'!B26</f>
        <v>Soshanguve X Buffer D</v>
      </c>
      <c r="B18" s="149"/>
      <c r="C18" s="128" t="b">
        <v>0</v>
      </c>
      <c r="D18" s="120" t="b">
        <v>0</v>
      </c>
      <c r="E18" s="120" t="b">
        <v>0</v>
      </c>
      <c r="F18" s="120" t="b">
        <v>1</v>
      </c>
      <c r="G18" s="120" t="b">
        <v>0</v>
      </c>
      <c r="H18" s="120" t="b">
        <v>1</v>
      </c>
      <c r="I18" s="126" t="b">
        <v>0</v>
      </c>
      <c r="J18" s="128" t="b">
        <v>0</v>
      </c>
      <c r="K18" s="120" t="b">
        <v>1</v>
      </c>
      <c r="L18" s="120" t="b">
        <v>0</v>
      </c>
      <c r="M18" s="120" t="b">
        <v>1</v>
      </c>
      <c r="N18" s="120" t="b">
        <v>0</v>
      </c>
      <c r="O18" s="120" t="b">
        <v>0</v>
      </c>
      <c r="P18" s="126" t="b">
        <v>1</v>
      </c>
      <c r="Q18" s="128" t="b">
        <v>0</v>
      </c>
      <c r="R18" s="120" t="b">
        <v>1</v>
      </c>
      <c r="S18" s="120" t="b">
        <v>0</v>
      </c>
      <c r="T18" s="120" t="b">
        <v>0</v>
      </c>
      <c r="U18" s="120" t="b">
        <v>1</v>
      </c>
      <c r="V18" s="120" t="b">
        <v>0</v>
      </c>
      <c r="W18" s="126" t="b">
        <v>0</v>
      </c>
      <c r="X18" s="128" t="b">
        <v>0</v>
      </c>
      <c r="Y18" s="120" t="b">
        <v>0</v>
      </c>
      <c r="Z18" s="120" t="b">
        <v>0</v>
      </c>
      <c r="AA18" s="120" t="b">
        <v>1</v>
      </c>
      <c r="AB18" s="120" t="b">
        <v>0</v>
      </c>
      <c r="AC18" s="120" t="b">
        <v>0</v>
      </c>
      <c r="AD18" s="120" t="b">
        <v>0</v>
      </c>
      <c r="AE18" s="120" t="b">
        <v>0</v>
      </c>
      <c r="AF18" s="120" t="b">
        <v>0</v>
      </c>
      <c r="AG18" s="120" t="b">
        <v>0</v>
      </c>
      <c r="AH18" s="121">
        <f t="shared" si="0"/>
        <v>8</v>
      </c>
    </row>
    <row r="19" spans="1:34" x14ac:dyDescent="0.3">
      <c r="A19" s="149" t="str">
        <f>'Invoice — Region 2'!B27</f>
        <v>Soshanguve X Buffer Civcon</v>
      </c>
      <c r="B19" s="149"/>
      <c r="C19" s="128" t="b">
        <v>0</v>
      </c>
      <c r="D19" s="120" t="b">
        <v>0</v>
      </c>
      <c r="E19" s="120" t="b">
        <v>0</v>
      </c>
      <c r="F19" s="120" t="b">
        <v>1</v>
      </c>
      <c r="G19" s="120" t="b">
        <v>0</v>
      </c>
      <c r="H19" s="120" t="b">
        <v>1</v>
      </c>
      <c r="I19" s="126" t="b">
        <v>0</v>
      </c>
      <c r="J19" s="128" t="b">
        <v>0</v>
      </c>
      <c r="K19" s="120" t="b">
        <v>1</v>
      </c>
      <c r="L19" s="120" t="b">
        <v>0</v>
      </c>
      <c r="M19" s="120" t="b">
        <v>0</v>
      </c>
      <c r="N19" s="120" t="b">
        <v>0</v>
      </c>
      <c r="O19" s="120" t="b">
        <v>0</v>
      </c>
      <c r="P19" s="126" t="b">
        <v>1</v>
      </c>
      <c r="Q19" s="128" t="b">
        <v>0</v>
      </c>
      <c r="R19" s="120" t="b">
        <v>0</v>
      </c>
      <c r="S19" s="120" t="b">
        <v>1</v>
      </c>
      <c r="T19" s="120" t="b">
        <v>0</v>
      </c>
      <c r="U19" s="120" t="b">
        <v>1</v>
      </c>
      <c r="V19" s="120" t="b">
        <v>0</v>
      </c>
      <c r="W19" s="126" t="b">
        <v>0</v>
      </c>
      <c r="X19" s="128" t="b">
        <v>0</v>
      </c>
      <c r="Y19" s="120" t="b">
        <v>1</v>
      </c>
      <c r="Z19" s="120" t="b">
        <v>0</v>
      </c>
      <c r="AA19" s="120" t="b">
        <v>0</v>
      </c>
      <c r="AB19" s="120" t="b">
        <v>0</v>
      </c>
      <c r="AC19" s="120" t="b">
        <v>0</v>
      </c>
      <c r="AD19" s="120" t="b">
        <v>0</v>
      </c>
      <c r="AE19" s="120" t="b">
        <v>0</v>
      </c>
      <c r="AF19" s="120" t="b">
        <v>0</v>
      </c>
      <c r="AG19" s="120" t="b">
        <v>0</v>
      </c>
      <c r="AH19" s="121">
        <f t="shared" si="0"/>
        <v>7</v>
      </c>
    </row>
    <row r="20" spans="1:34" x14ac:dyDescent="0.3">
      <c r="A20" s="149" t="str">
        <f>'Invoice — Region 2'!B28</f>
        <v>Dali Mpofu</v>
      </c>
      <c r="B20" s="149"/>
      <c r="C20" s="128" t="b">
        <v>0</v>
      </c>
      <c r="D20" s="120" t="b">
        <v>0</v>
      </c>
      <c r="E20" s="120" t="b">
        <v>0</v>
      </c>
      <c r="F20" s="120" t="b">
        <v>0</v>
      </c>
      <c r="G20" s="120" t="b">
        <v>1</v>
      </c>
      <c r="H20" s="120" t="b">
        <v>0</v>
      </c>
      <c r="I20" s="126" t="b">
        <v>0</v>
      </c>
      <c r="J20" s="128" t="b">
        <v>0</v>
      </c>
      <c r="K20" s="120" t="b">
        <v>1</v>
      </c>
      <c r="L20" s="120" t="b">
        <v>0</v>
      </c>
      <c r="M20" s="120" t="b">
        <v>0</v>
      </c>
      <c r="N20" s="120" t="b">
        <v>1</v>
      </c>
      <c r="O20" s="120" t="b">
        <v>0</v>
      </c>
      <c r="P20" s="126" t="b">
        <v>0</v>
      </c>
      <c r="Q20" s="128" t="b">
        <v>0</v>
      </c>
      <c r="R20" s="120" t="b">
        <v>1</v>
      </c>
      <c r="S20" s="120" t="b">
        <v>0</v>
      </c>
      <c r="T20" s="120" t="b">
        <v>0</v>
      </c>
      <c r="U20" s="120" t="b">
        <v>1</v>
      </c>
      <c r="V20" s="120" t="b">
        <v>0</v>
      </c>
      <c r="W20" s="126" t="b">
        <v>0</v>
      </c>
      <c r="X20" s="128" t="b">
        <v>0</v>
      </c>
      <c r="Y20" s="120" t="b">
        <v>1</v>
      </c>
      <c r="Z20" s="120" t="b">
        <v>0</v>
      </c>
      <c r="AA20" s="120" t="b">
        <v>1</v>
      </c>
      <c r="AB20" s="120" t="b">
        <v>0</v>
      </c>
      <c r="AC20" s="120" t="b">
        <v>0</v>
      </c>
      <c r="AD20" s="120" t="b">
        <v>0</v>
      </c>
      <c r="AE20" s="120" t="b">
        <v>0</v>
      </c>
      <c r="AF20" s="120" t="b">
        <v>0</v>
      </c>
      <c r="AG20" s="120" t="b">
        <v>0</v>
      </c>
      <c r="AH20" s="121">
        <f t="shared" si="0"/>
        <v>7</v>
      </c>
    </row>
    <row r="21" spans="1:34" x14ac:dyDescent="0.3">
      <c r="A21" s="149" t="str">
        <f>'Invoice — Region 2'!B29</f>
        <v>Stinkwater</v>
      </c>
      <c r="B21" s="149"/>
      <c r="C21" s="128" t="b">
        <v>0</v>
      </c>
      <c r="D21" s="120" t="b">
        <v>0</v>
      </c>
      <c r="E21" s="120" t="b">
        <v>0</v>
      </c>
      <c r="F21" s="120" t="b">
        <v>1</v>
      </c>
      <c r="G21" s="120" t="b">
        <v>0</v>
      </c>
      <c r="H21" s="120" t="b">
        <v>1</v>
      </c>
      <c r="I21" s="126" t="b">
        <v>0</v>
      </c>
      <c r="J21" s="128" t="b">
        <v>0</v>
      </c>
      <c r="K21" s="120" t="b">
        <v>1</v>
      </c>
      <c r="L21" s="120" t="b">
        <v>1</v>
      </c>
      <c r="M21" s="120" t="b">
        <v>0</v>
      </c>
      <c r="N21" s="120" t="b">
        <v>0</v>
      </c>
      <c r="O21" s="120" t="b">
        <v>0</v>
      </c>
      <c r="P21" s="126" t="b">
        <v>0</v>
      </c>
      <c r="Q21" s="128" t="b">
        <v>0</v>
      </c>
      <c r="R21" s="120" t="b">
        <v>1</v>
      </c>
      <c r="S21" s="120" t="b">
        <v>0</v>
      </c>
      <c r="T21" s="120" t="b">
        <v>1</v>
      </c>
      <c r="U21" s="120" t="b">
        <v>0</v>
      </c>
      <c r="V21" s="120" t="b">
        <v>0</v>
      </c>
      <c r="W21" s="126" t="b">
        <v>0</v>
      </c>
      <c r="X21" s="128" t="b">
        <v>0</v>
      </c>
      <c r="Y21" s="120" t="b">
        <v>1</v>
      </c>
      <c r="Z21" s="120" t="b">
        <v>0</v>
      </c>
      <c r="AA21" s="120" t="b">
        <v>0</v>
      </c>
      <c r="AB21" s="120" t="b">
        <v>0</v>
      </c>
      <c r="AC21" s="120" t="b">
        <v>0</v>
      </c>
      <c r="AD21" s="120" t="b">
        <v>0</v>
      </c>
      <c r="AE21" s="120" t="b">
        <v>0</v>
      </c>
      <c r="AF21" s="120" t="b">
        <v>0</v>
      </c>
      <c r="AG21" s="120" t="b">
        <v>0</v>
      </c>
      <c r="AH21" s="121">
        <f t="shared" si="0"/>
        <v>7</v>
      </c>
    </row>
    <row r="22" spans="1:34" x14ac:dyDescent="0.3">
      <c r="A22" s="149" t="str">
        <f>'Invoice — Region 2'!B30</f>
        <v>Stinkwater Ext 10</v>
      </c>
      <c r="B22" s="149"/>
      <c r="C22" s="128" t="b">
        <v>0</v>
      </c>
      <c r="D22" s="120" t="b">
        <v>0</v>
      </c>
      <c r="E22" s="120" t="b">
        <v>0</v>
      </c>
      <c r="F22" s="120" t="b">
        <v>1</v>
      </c>
      <c r="G22" s="120" t="b">
        <v>0</v>
      </c>
      <c r="H22" s="120" t="b">
        <v>0</v>
      </c>
      <c r="I22" s="126" t="b">
        <v>1</v>
      </c>
      <c r="J22" s="128" t="b">
        <v>0</v>
      </c>
      <c r="K22" s="120" t="b">
        <v>0</v>
      </c>
      <c r="L22" s="120" t="b">
        <v>1</v>
      </c>
      <c r="M22" s="120" t="b">
        <v>0</v>
      </c>
      <c r="N22" s="120" t="b">
        <v>1</v>
      </c>
      <c r="O22" s="120" t="b">
        <v>1</v>
      </c>
      <c r="P22" s="126" t="b">
        <v>0</v>
      </c>
      <c r="Q22" s="128" t="b">
        <v>0</v>
      </c>
      <c r="R22" s="120" t="b">
        <v>0</v>
      </c>
      <c r="S22" s="120" t="b">
        <v>1</v>
      </c>
      <c r="T22" s="120" t="b">
        <v>0</v>
      </c>
      <c r="U22" s="120" t="b">
        <v>0</v>
      </c>
      <c r="V22" s="120" t="b">
        <v>1</v>
      </c>
      <c r="W22" s="126" t="b">
        <v>0</v>
      </c>
      <c r="X22" s="128" t="b">
        <v>0</v>
      </c>
      <c r="Y22" s="120" t="b">
        <v>0</v>
      </c>
      <c r="Z22" s="120" t="b">
        <v>1</v>
      </c>
      <c r="AA22" s="120" t="b">
        <v>0</v>
      </c>
      <c r="AB22" s="120" t="b">
        <v>0</v>
      </c>
      <c r="AC22" s="120" t="b">
        <v>0</v>
      </c>
      <c r="AD22" s="120" t="b">
        <v>0</v>
      </c>
      <c r="AE22" s="120" t="b">
        <v>0</v>
      </c>
      <c r="AF22" s="120" t="b">
        <v>0</v>
      </c>
      <c r="AG22" s="120" t="b">
        <v>0</v>
      </c>
      <c r="AH22" s="121">
        <f t="shared" si="0"/>
        <v>8</v>
      </c>
    </row>
    <row r="23" spans="1:34" x14ac:dyDescent="0.3">
      <c r="A23" s="149" t="str">
        <f>'Invoice — Region 2'!B31</f>
        <v>Chris Hani</v>
      </c>
      <c r="B23" s="149"/>
      <c r="C23" s="128" t="b">
        <v>0</v>
      </c>
      <c r="D23" s="120" t="b">
        <v>0</v>
      </c>
      <c r="E23" s="120" t="b">
        <v>0</v>
      </c>
      <c r="F23" s="120" t="b">
        <v>0</v>
      </c>
      <c r="G23" s="120" t="b">
        <v>1</v>
      </c>
      <c r="H23" s="120" t="b">
        <v>0</v>
      </c>
      <c r="I23" s="126" t="b">
        <v>0</v>
      </c>
      <c r="J23" s="128" t="b">
        <v>0</v>
      </c>
      <c r="K23" s="120" t="b">
        <v>1</v>
      </c>
      <c r="L23" s="120" t="b">
        <v>0</v>
      </c>
      <c r="M23" s="120" t="b">
        <v>0</v>
      </c>
      <c r="N23" s="120" t="b">
        <v>0</v>
      </c>
      <c r="O23" s="120" t="b">
        <v>1</v>
      </c>
      <c r="P23" s="126" t="b">
        <v>0</v>
      </c>
      <c r="Q23" s="128" t="b">
        <v>0</v>
      </c>
      <c r="R23" s="120" t="b">
        <v>1</v>
      </c>
      <c r="S23" s="120" t="b">
        <v>0</v>
      </c>
      <c r="T23" s="120" t="b">
        <v>1</v>
      </c>
      <c r="U23" s="120" t="b">
        <v>0</v>
      </c>
      <c r="V23" s="120" t="b">
        <v>0</v>
      </c>
      <c r="W23" s="126" t="b">
        <v>0</v>
      </c>
      <c r="X23" s="128" t="b">
        <v>0</v>
      </c>
      <c r="Y23" s="120" t="b">
        <v>1</v>
      </c>
      <c r="Z23" s="120" t="b">
        <v>0</v>
      </c>
      <c r="AA23" s="120" t="b">
        <v>1</v>
      </c>
      <c r="AB23" s="120" t="b">
        <v>0</v>
      </c>
      <c r="AC23" s="120" t="b">
        <v>0</v>
      </c>
      <c r="AD23" s="120" t="b">
        <v>0</v>
      </c>
      <c r="AE23" s="120" t="b">
        <v>0</v>
      </c>
      <c r="AF23" s="120" t="b">
        <v>0</v>
      </c>
      <c r="AG23" s="120" t="b">
        <v>0</v>
      </c>
      <c r="AH23" s="121">
        <f t="shared" si="0"/>
        <v>7</v>
      </c>
    </row>
    <row r="24" spans="1:34" x14ac:dyDescent="0.3">
      <c r="A24" s="149" t="str">
        <f>'Invoice — Region 2'!B32</f>
        <v>Phomolong Phase 1</v>
      </c>
      <c r="B24" s="149"/>
      <c r="C24" s="128" t="b">
        <v>0</v>
      </c>
      <c r="D24" s="120" t="b">
        <v>0</v>
      </c>
      <c r="E24" s="120" t="b">
        <v>0</v>
      </c>
      <c r="F24" s="120" t="b">
        <v>0</v>
      </c>
      <c r="G24" s="120" t="b">
        <v>1</v>
      </c>
      <c r="H24" s="120" t="b">
        <v>0</v>
      </c>
      <c r="I24" s="126" t="b">
        <v>0</v>
      </c>
      <c r="J24" s="128" t="b">
        <v>1</v>
      </c>
      <c r="K24" s="120" t="b">
        <v>0</v>
      </c>
      <c r="L24" s="120" t="b">
        <v>0</v>
      </c>
      <c r="M24" s="120" t="b">
        <v>1</v>
      </c>
      <c r="N24" s="120" t="b">
        <v>0</v>
      </c>
      <c r="O24" s="120" t="b">
        <v>1</v>
      </c>
      <c r="P24" s="126" t="b">
        <v>0</v>
      </c>
      <c r="Q24" s="128" t="b">
        <v>0</v>
      </c>
      <c r="R24" s="120" t="b">
        <v>0</v>
      </c>
      <c r="S24" s="120" t="b">
        <v>1</v>
      </c>
      <c r="T24" s="120" t="b">
        <v>0</v>
      </c>
      <c r="U24" s="120" t="b">
        <v>0</v>
      </c>
      <c r="V24" s="120" t="b">
        <v>1</v>
      </c>
      <c r="W24" s="126" t="b">
        <v>0</v>
      </c>
      <c r="X24" s="128" t="b">
        <v>0</v>
      </c>
      <c r="Y24" s="120" t="b">
        <v>0</v>
      </c>
      <c r="Z24" s="120" t="b">
        <v>0</v>
      </c>
      <c r="AA24" s="120" t="b">
        <v>1</v>
      </c>
      <c r="AB24" s="120" t="b">
        <v>0</v>
      </c>
      <c r="AC24" s="120" t="b">
        <v>0</v>
      </c>
      <c r="AD24" s="120" t="b">
        <v>0</v>
      </c>
      <c r="AE24" s="120" t="b">
        <v>0</v>
      </c>
      <c r="AF24" s="120" t="b">
        <v>0</v>
      </c>
      <c r="AG24" s="120" t="b">
        <v>0</v>
      </c>
      <c r="AH24" s="121">
        <f t="shared" si="0"/>
        <v>7</v>
      </c>
    </row>
    <row r="25" spans="1:34" x14ac:dyDescent="0.3">
      <c r="A25" s="149" t="str">
        <f>'Invoice — Region 2'!B33</f>
        <v>Greenfield Ext 14 (Lefika)</v>
      </c>
      <c r="B25" s="149"/>
      <c r="C25" s="128" t="b">
        <v>0</v>
      </c>
      <c r="D25" s="120" t="b">
        <v>0</v>
      </c>
      <c r="E25" s="120" t="b">
        <v>1</v>
      </c>
      <c r="F25" s="120" t="b">
        <v>0</v>
      </c>
      <c r="G25" s="120" t="b">
        <v>0</v>
      </c>
      <c r="H25" s="120" t="b">
        <v>1</v>
      </c>
      <c r="I25" s="126" t="b">
        <v>0</v>
      </c>
      <c r="J25" s="128" t="b">
        <v>0</v>
      </c>
      <c r="K25" s="120" t="b">
        <v>0</v>
      </c>
      <c r="L25" s="120" t="b">
        <v>1</v>
      </c>
      <c r="M25" s="120" t="b">
        <v>0</v>
      </c>
      <c r="N25" s="120" t="b">
        <v>1</v>
      </c>
      <c r="O25" s="120" t="b">
        <v>0</v>
      </c>
      <c r="P25" s="126" t="b">
        <v>0</v>
      </c>
      <c r="Q25" s="128" t="b">
        <v>0</v>
      </c>
      <c r="R25" s="120" t="b">
        <v>1</v>
      </c>
      <c r="S25" s="120" t="b">
        <v>0</v>
      </c>
      <c r="T25" s="120" t="b">
        <v>0</v>
      </c>
      <c r="U25" s="120" t="b">
        <v>0</v>
      </c>
      <c r="V25" s="120" t="b">
        <v>1</v>
      </c>
      <c r="W25" s="126" t="b">
        <v>0</v>
      </c>
      <c r="X25" s="128" t="b">
        <v>0</v>
      </c>
      <c r="Y25" s="120" t="b">
        <v>0</v>
      </c>
      <c r="Z25" s="120" t="b">
        <v>1</v>
      </c>
      <c r="AA25" s="120" t="b">
        <v>0</v>
      </c>
      <c r="AB25" s="120" t="b">
        <v>0</v>
      </c>
      <c r="AC25" s="120" t="b">
        <v>0</v>
      </c>
      <c r="AD25" s="120" t="b">
        <v>0</v>
      </c>
      <c r="AE25" s="120" t="b">
        <v>0</v>
      </c>
      <c r="AF25" s="120" t="b">
        <v>0</v>
      </c>
      <c r="AG25" s="120" t="b">
        <v>0</v>
      </c>
      <c r="AH25" s="121">
        <f t="shared" si="0"/>
        <v>7</v>
      </c>
    </row>
    <row r="26" spans="1:34" x14ac:dyDescent="0.3">
      <c r="A26" s="117"/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22"/>
      <c r="R26" s="122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  <c r="AC26" s="123"/>
      <c r="AD26" s="123"/>
      <c r="AE26" s="123"/>
      <c r="AF26" s="123"/>
      <c r="AG26" s="123"/>
      <c r="AH26" s="124"/>
    </row>
    <row r="27" spans="1:34" x14ac:dyDescent="0.3">
      <c r="A27" s="117"/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22"/>
      <c r="R27" s="122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  <c r="AC27" s="123"/>
      <c r="AD27" s="123"/>
      <c r="AE27" s="123"/>
      <c r="AF27" s="123"/>
      <c r="AG27" s="123"/>
      <c r="AH27" s="124"/>
    </row>
    <row r="28" spans="1:34" x14ac:dyDescent="0.3">
      <c r="A28" s="117"/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22"/>
      <c r="R28" s="122"/>
      <c r="S28" s="123"/>
      <c r="T28" s="123"/>
      <c r="U28" s="123"/>
      <c r="V28" s="123"/>
      <c r="W28" s="123"/>
      <c r="X28" s="123"/>
      <c r="Y28" s="123"/>
      <c r="Z28" s="123"/>
      <c r="AA28" s="123"/>
      <c r="AB28" s="123"/>
      <c r="AC28" s="123"/>
      <c r="AD28" s="123"/>
      <c r="AE28" s="123"/>
      <c r="AF28" s="123"/>
      <c r="AG28" s="123"/>
      <c r="AH28" s="124"/>
    </row>
    <row r="29" spans="1:34" x14ac:dyDescent="0.3">
      <c r="A29" s="117"/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22"/>
      <c r="R29" s="122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  <c r="AC29" s="123"/>
      <c r="AD29" s="123"/>
      <c r="AE29" s="123"/>
      <c r="AF29" s="123"/>
      <c r="AG29" s="123"/>
      <c r="AH29" s="124"/>
    </row>
    <row r="30" spans="1:34" x14ac:dyDescent="0.3">
      <c r="A30" s="117"/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22"/>
      <c r="R30" s="122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  <c r="AC30" s="123"/>
      <c r="AD30" s="123"/>
      <c r="AE30" s="123"/>
      <c r="AF30" s="123"/>
      <c r="AG30" s="123"/>
      <c r="AH30" s="124"/>
    </row>
    <row r="31" spans="1:34" x14ac:dyDescent="0.3">
      <c r="Q31" s="2"/>
      <c r="R31" s="2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73"/>
    </row>
    <row r="32" spans="1:34" x14ac:dyDescent="0.3">
      <c r="Q32" s="2"/>
      <c r="R32" s="2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73"/>
    </row>
    <row r="33" spans="1:34" x14ac:dyDescent="0.3">
      <c r="Q33" s="2"/>
      <c r="R33" s="2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73"/>
    </row>
    <row r="34" spans="1:34" x14ac:dyDescent="0.3">
      <c r="A34" s="39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5"/>
      <c r="Q34" s="5"/>
      <c r="R34" s="5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72"/>
    </row>
    <row r="35" spans="1:34" x14ac:dyDescent="0.3">
      <c r="A35" s="39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31"/>
      <c r="Q35" s="31"/>
      <c r="R35" s="31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</row>
    <row r="36" spans="1:34" x14ac:dyDescent="0.3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Q36" s="30"/>
      <c r="R36" s="3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</row>
    <row r="37" spans="1:34" x14ac:dyDescent="0.3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Q37" s="32"/>
      <c r="R37" s="32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32"/>
    </row>
    <row r="38" spans="1:34" x14ac:dyDescent="0.3">
      <c r="A38" s="151"/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1"/>
      <c r="N38" s="34"/>
      <c r="O38" s="34"/>
      <c r="Q38" s="150" t="s">
        <v>45</v>
      </c>
      <c r="R38" s="150"/>
      <c r="S38" s="150"/>
      <c r="T38" s="150"/>
      <c r="U38" s="150"/>
      <c r="V38" s="150"/>
      <c r="W38" s="150"/>
      <c r="X38" s="150"/>
      <c r="Y38" s="150"/>
      <c r="Z38" s="150"/>
      <c r="AA38" s="150"/>
      <c r="AB38" s="150"/>
      <c r="AC38" s="150"/>
      <c r="AD38" s="150"/>
      <c r="AE38" s="150"/>
      <c r="AF38" s="150"/>
      <c r="AG38" s="150"/>
      <c r="AH38" s="150"/>
    </row>
    <row r="39" spans="1:34" x14ac:dyDescent="0.3">
      <c r="A39" s="152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34"/>
      <c r="O39" s="34"/>
      <c r="Q39" s="152"/>
      <c r="R39" s="152"/>
      <c r="S39" s="152"/>
      <c r="T39" s="152"/>
      <c r="U39" s="152"/>
      <c r="V39" s="152"/>
      <c r="W39" s="152"/>
      <c r="X39" s="152"/>
      <c r="Y39" s="152"/>
      <c r="Z39" s="152"/>
      <c r="AA39" s="152"/>
      <c r="AB39" s="152"/>
      <c r="AC39" s="152"/>
      <c r="AD39" s="152"/>
      <c r="AE39" s="152"/>
      <c r="AF39" s="152"/>
      <c r="AG39" s="152"/>
      <c r="AH39" s="152"/>
    </row>
    <row r="40" spans="1:34" x14ac:dyDescent="0.3">
      <c r="A40" s="153"/>
      <c r="B40" s="153"/>
      <c r="C40" s="153"/>
      <c r="D40" s="153"/>
      <c r="E40" s="153"/>
      <c r="F40" s="153"/>
      <c r="G40" s="153"/>
      <c r="H40" s="153"/>
      <c r="I40" s="153"/>
      <c r="J40" s="153"/>
      <c r="K40" s="153"/>
      <c r="L40" s="153"/>
      <c r="M40" s="153"/>
      <c r="N40" s="30"/>
      <c r="O40" s="30"/>
      <c r="Q40" s="153"/>
      <c r="R40" s="153"/>
      <c r="S40" s="153"/>
      <c r="T40" s="153"/>
      <c r="U40" s="153"/>
      <c r="V40" s="153"/>
      <c r="W40" s="153"/>
      <c r="X40" s="153"/>
      <c r="Y40" s="153"/>
      <c r="Z40" s="153"/>
      <c r="AA40" s="153"/>
      <c r="AB40" s="153"/>
      <c r="AC40" s="153"/>
      <c r="AD40" s="153"/>
      <c r="AE40" s="153"/>
      <c r="AF40" s="153"/>
      <c r="AG40" s="153"/>
      <c r="AH40" s="153"/>
    </row>
    <row r="41" spans="1:34" x14ac:dyDescent="0.3">
      <c r="A41" s="150" t="s">
        <v>44</v>
      </c>
      <c r="B41" s="150"/>
      <c r="C41" s="150"/>
      <c r="D41" s="150"/>
      <c r="E41" s="150"/>
      <c r="F41" s="150"/>
      <c r="G41" s="150"/>
      <c r="H41" s="150"/>
      <c r="I41" s="150"/>
      <c r="J41" s="150"/>
      <c r="K41" s="150"/>
      <c r="L41" s="150"/>
      <c r="M41" s="150"/>
      <c r="N41" s="41"/>
      <c r="O41" s="41"/>
      <c r="Q41" s="156" t="s">
        <v>1</v>
      </c>
      <c r="R41" s="156"/>
      <c r="S41" s="156"/>
      <c r="T41" s="156"/>
      <c r="U41" s="156"/>
      <c r="V41" s="156"/>
      <c r="W41" s="156"/>
      <c r="X41" s="156"/>
      <c r="Y41" s="156"/>
      <c r="Z41" s="156"/>
      <c r="AA41" s="156"/>
      <c r="AB41" s="156"/>
      <c r="AC41" s="156"/>
      <c r="AD41" s="156"/>
      <c r="AE41" s="156"/>
      <c r="AF41" s="156"/>
      <c r="AG41" s="156"/>
      <c r="AH41" s="156"/>
    </row>
    <row r="42" spans="1:34" x14ac:dyDescent="0.3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30"/>
      <c r="O42" s="30"/>
      <c r="Q42" s="152"/>
      <c r="R42" s="152"/>
      <c r="S42" s="152"/>
      <c r="T42" s="152"/>
      <c r="U42" s="152"/>
      <c r="V42" s="152"/>
      <c r="W42" s="152"/>
      <c r="X42" s="152"/>
      <c r="Y42" s="152"/>
      <c r="Z42" s="152"/>
      <c r="AA42" s="152"/>
      <c r="AB42" s="152"/>
      <c r="AC42" s="152"/>
      <c r="AD42" s="152"/>
      <c r="AE42" s="152"/>
      <c r="AF42" s="152"/>
      <c r="AG42" s="152"/>
      <c r="AH42" s="152"/>
    </row>
    <row r="43" spans="1:34" x14ac:dyDescent="0.3">
      <c r="A43" s="154">
        <f>R4</f>
        <v>0</v>
      </c>
      <c r="B43" s="154"/>
      <c r="C43" s="154"/>
      <c r="D43" s="154"/>
      <c r="E43" s="154"/>
      <c r="F43" s="154"/>
      <c r="G43" s="154"/>
      <c r="H43" s="154"/>
      <c r="I43" s="154"/>
      <c r="J43" s="154"/>
      <c r="K43" s="154"/>
      <c r="L43" s="154"/>
      <c r="M43" s="154"/>
      <c r="N43" s="60"/>
      <c r="O43" s="60"/>
      <c r="Q43" s="155"/>
      <c r="R43" s="155"/>
      <c r="S43" s="155"/>
      <c r="T43" s="155"/>
      <c r="U43" s="155"/>
      <c r="V43" s="155"/>
      <c r="W43" s="155"/>
      <c r="X43" s="155"/>
      <c r="Y43" s="155"/>
      <c r="Z43" s="155"/>
      <c r="AA43" s="155"/>
      <c r="AB43" s="155"/>
      <c r="AC43" s="155"/>
      <c r="AD43" s="155"/>
      <c r="AE43" s="155"/>
      <c r="AF43" s="155"/>
      <c r="AG43" s="155"/>
      <c r="AH43" s="155"/>
    </row>
    <row r="44" spans="1:34" ht="25.05" customHeight="1" x14ac:dyDescent="0.3">
      <c r="A44" s="150" t="s">
        <v>0</v>
      </c>
      <c r="B44" s="150"/>
      <c r="C44" s="150"/>
      <c r="D44" s="150"/>
      <c r="E44" s="150"/>
      <c r="F44" s="150"/>
      <c r="G44" s="150"/>
      <c r="H44" s="150"/>
      <c r="I44" s="150"/>
      <c r="J44" s="150"/>
      <c r="K44" s="150"/>
      <c r="L44" s="150"/>
      <c r="M44" s="150"/>
      <c r="N44" s="30"/>
      <c r="O44" s="30"/>
      <c r="Q44" s="150" t="s">
        <v>0</v>
      </c>
      <c r="R44" s="150"/>
      <c r="S44" s="150"/>
      <c r="T44" s="150"/>
      <c r="U44" s="150"/>
      <c r="V44" s="150"/>
      <c r="W44" s="150"/>
      <c r="X44" s="150"/>
      <c r="Y44" s="150"/>
      <c r="Z44" s="150"/>
      <c r="AA44" s="150"/>
      <c r="AB44" s="150"/>
      <c r="AC44" s="150"/>
      <c r="AD44" s="150"/>
      <c r="AE44" s="150"/>
      <c r="AF44" s="150"/>
      <c r="AG44" s="150"/>
      <c r="AH44" s="150"/>
    </row>
  </sheetData>
  <mergeCells count="50">
    <mergeCell ref="A8:M8"/>
    <mergeCell ref="A23:B23"/>
    <mergeCell ref="A1:O1"/>
    <mergeCell ref="P1:AH1"/>
    <mergeCell ref="Q42:AH42"/>
    <mergeCell ref="A3:M3"/>
    <mergeCell ref="A4:M4"/>
    <mergeCell ref="A5:M5"/>
    <mergeCell ref="A6:M6"/>
    <mergeCell ref="A7:M7"/>
    <mergeCell ref="A11:B11"/>
    <mergeCell ref="A12:B12"/>
    <mergeCell ref="A13:B13"/>
    <mergeCell ref="AH11:AH12"/>
    <mergeCell ref="A24:B24"/>
    <mergeCell ref="A19:B19"/>
    <mergeCell ref="Q44:AH44"/>
    <mergeCell ref="A38:M38"/>
    <mergeCell ref="A39:M39"/>
    <mergeCell ref="A41:M41"/>
    <mergeCell ref="A42:M42"/>
    <mergeCell ref="A44:M44"/>
    <mergeCell ref="A40:M40"/>
    <mergeCell ref="A43:M43"/>
    <mergeCell ref="Q43:AH43"/>
    <mergeCell ref="Q38:AH38"/>
    <mergeCell ref="Q39:AH39"/>
    <mergeCell ref="Q40:AH40"/>
    <mergeCell ref="Q41:AH41"/>
    <mergeCell ref="A20:B20"/>
    <mergeCell ref="A21:B21"/>
    <mergeCell ref="A25:B25"/>
    <mergeCell ref="A14:B14"/>
    <mergeCell ref="A15:B15"/>
    <mergeCell ref="A16:B16"/>
    <mergeCell ref="A17:B17"/>
    <mergeCell ref="A18:B18"/>
    <mergeCell ref="A22:B22"/>
    <mergeCell ref="AC8:AH8"/>
    <mergeCell ref="Z3:AB3"/>
    <mergeCell ref="Z4:AB4"/>
    <mergeCell ref="Z5:AB5"/>
    <mergeCell ref="Z6:AB6"/>
    <mergeCell ref="Z7:AB7"/>
    <mergeCell ref="Z8:AB8"/>
    <mergeCell ref="AC3:AH3"/>
    <mergeCell ref="AC4:AH4"/>
    <mergeCell ref="AC5:AH5"/>
    <mergeCell ref="AC6:AH6"/>
    <mergeCell ref="AC7:AH7"/>
  </mergeCells>
  <phoneticPr fontId="11" type="noConversion"/>
  <pageMargins left="0.7" right="0.7" top="1.542" bottom="0.75" header="0.3" footer="0.3"/>
  <pageSetup paperSize="9" scale="51" fitToHeight="0" orientation="landscape" r:id="rId1"/>
  <headerFooter>
    <oddHeader>&amp;L&amp;"-,Bold"&amp;36SERVICE NOTES&amp;10
&amp;14SITHEMBE TRANSPORTATION AND PROJECTS  &amp;"-,Regular"&amp;11
&amp;14VAT No: 4070272101  
285 Erasmus Ave  
Raslouw AH  
Centuiron  
0157  &amp;R&amp;G</oddHeader>
    <oddFooter>&amp;Laccounts@sithembe.co.za&amp;Cwww.sithembe.co.za&amp;R012 880 3155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82A30-A8B0-4D01-A196-1BCBF43D5969}">
  <sheetPr>
    <pageSetUpPr fitToPage="1"/>
  </sheetPr>
  <dimension ref="A1:L64"/>
  <sheetViews>
    <sheetView view="pageBreakPreview" topLeftCell="A10" zoomScaleNormal="100" zoomScaleSheetLayoutView="100" workbookViewId="0">
      <selection activeCell="I3" sqref="I3:L3"/>
    </sheetView>
  </sheetViews>
  <sheetFormatPr defaultRowHeight="14.4" x14ac:dyDescent="0.3"/>
  <cols>
    <col min="1" max="1" width="25.88671875" customWidth="1"/>
    <col min="2" max="2" width="27.88671875" bestFit="1" customWidth="1"/>
    <col min="3" max="9" width="6.77734375" bestFit="1" customWidth="1"/>
    <col min="10" max="11" width="6.77734375" style="72" bestFit="1" customWidth="1"/>
    <col min="12" max="12" width="5.5546875" bestFit="1" customWidth="1"/>
    <col min="13" max="13" width="12.44140625" bestFit="1" customWidth="1"/>
    <col min="14" max="16" width="10.77734375" customWidth="1"/>
  </cols>
  <sheetData>
    <row r="1" spans="1:12" ht="22.8" x14ac:dyDescent="0.3">
      <c r="A1" s="158" t="s">
        <v>47</v>
      </c>
      <c r="B1" s="158"/>
      <c r="C1" s="158"/>
      <c r="D1" s="158"/>
      <c r="E1" s="158"/>
      <c r="F1" s="158"/>
      <c r="G1" s="159" t="s">
        <v>68</v>
      </c>
      <c r="H1" s="159"/>
      <c r="I1" s="159"/>
      <c r="J1" s="159"/>
      <c r="K1" s="159"/>
      <c r="L1" s="159"/>
    </row>
    <row r="2" spans="1:12" ht="1.95" customHeight="1" x14ac:dyDescent="0.3">
      <c r="A2" s="10"/>
      <c r="B2" s="10"/>
      <c r="C2" s="10"/>
      <c r="D2" s="10"/>
      <c r="E2" s="10"/>
      <c r="F2" s="10"/>
      <c r="G2" s="10"/>
      <c r="H2" s="10"/>
      <c r="I2" s="10"/>
      <c r="J2" s="67"/>
      <c r="K2" s="67"/>
      <c r="L2" s="10"/>
    </row>
    <row r="3" spans="1:12" x14ac:dyDescent="0.3">
      <c r="A3" s="160" t="s">
        <v>2</v>
      </c>
      <c r="B3" s="160"/>
      <c r="C3" s="160"/>
      <c r="D3" s="160"/>
      <c r="E3" s="76"/>
      <c r="F3" s="76"/>
      <c r="G3" s="76"/>
      <c r="H3" s="57" t="s">
        <v>6</v>
      </c>
      <c r="I3" s="145" t="str">
        <f>'Invoice — Region 2'!K3</f>
        <v>STP/INV/26/0353</v>
      </c>
      <c r="J3" s="145"/>
      <c r="K3" s="145"/>
      <c r="L3" s="145"/>
    </row>
    <row r="4" spans="1:12" x14ac:dyDescent="0.3">
      <c r="A4" s="160" t="s">
        <v>54</v>
      </c>
      <c r="B4" s="160"/>
      <c r="C4" s="160"/>
      <c r="D4" s="160"/>
      <c r="E4" s="76"/>
      <c r="F4" s="76"/>
      <c r="G4" s="76"/>
      <c r="H4" s="57" t="s">
        <v>3</v>
      </c>
      <c r="I4" s="147" t="str">
        <f ca="1">'Invoice — Region 2'!K4</f>
        <v>26 May 2026</v>
      </c>
      <c r="J4" s="147"/>
      <c r="K4" s="147"/>
      <c r="L4" s="147"/>
    </row>
    <row r="5" spans="1:12" x14ac:dyDescent="0.3">
      <c r="A5" s="160" t="s">
        <v>55</v>
      </c>
      <c r="B5" s="160"/>
      <c r="C5" s="160"/>
      <c r="D5" s="160"/>
      <c r="E5" s="76"/>
      <c r="F5" s="76"/>
      <c r="G5" s="76"/>
      <c r="H5" s="57" t="s">
        <v>4</v>
      </c>
      <c r="I5" s="145" t="str">
        <f ca="1">'Invoice — Region 2'!K5</f>
        <v>May 26 (01 May - 25 May)</v>
      </c>
      <c r="J5" s="145"/>
      <c r="K5" s="145"/>
      <c r="L5" s="145"/>
    </row>
    <row r="6" spans="1:12" x14ac:dyDescent="0.3">
      <c r="A6" s="160" t="s">
        <v>46</v>
      </c>
      <c r="B6" s="160"/>
      <c r="C6" s="160"/>
      <c r="D6" s="160"/>
      <c r="E6" s="76"/>
      <c r="F6" s="76"/>
      <c r="G6" s="76"/>
      <c r="H6" s="57" t="s">
        <v>11</v>
      </c>
      <c r="I6" s="145">
        <f ca="1">IF(I4="","",I4-DATE(YEAR(I4),MONTH(I4)-1,26))</f>
        <v>30</v>
      </c>
      <c r="J6" s="145"/>
      <c r="K6" s="145"/>
      <c r="L6" s="145"/>
    </row>
    <row r="7" spans="1:12" x14ac:dyDescent="0.3">
      <c r="A7" s="160" t="s">
        <v>56</v>
      </c>
      <c r="B7" s="160"/>
      <c r="C7" s="160"/>
      <c r="D7" s="160"/>
      <c r="E7" s="76"/>
      <c r="F7" s="76"/>
      <c r="G7" s="76"/>
      <c r="H7" s="57" t="s">
        <v>5</v>
      </c>
      <c r="I7" s="148" t="str">
        <f>IF('Invoice — Region 2'!K7="","",'Invoice — Region 2'!K7)</f>
        <v/>
      </c>
      <c r="J7" s="148"/>
      <c r="K7" s="148"/>
      <c r="L7" s="148"/>
    </row>
    <row r="8" spans="1:12" x14ac:dyDescent="0.3">
      <c r="A8" s="157" t="s">
        <v>63</v>
      </c>
      <c r="B8" s="157"/>
      <c r="C8" s="157"/>
      <c r="D8" s="157"/>
      <c r="E8" s="76"/>
      <c r="F8" s="76"/>
      <c r="G8" s="76"/>
      <c r="H8" s="57" t="s">
        <v>9</v>
      </c>
      <c r="I8" s="145" t="str">
        <f>'Invoice — Region 2'!K11</f>
        <v>Region 2</v>
      </c>
      <c r="J8" s="145"/>
      <c r="K8" s="145"/>
      <c r="L8" s="145"/>
    </row>
    <row r="9" spans="1:12" x14ac:dyDescent="0.3">
      <c r="A9" s="75"/>
      <c r="B9" s="75"/>
      <c r="C9" s="75"/>
      <c r="D9" s="75"/>
      <c r="E9" s="76"/>
      <c r="F9" s="76"/>
      <c r="G9" s="76"/>
      <c r="H9" s="57"/>
      <c r="I9" s="35"/>
      <c r="J9" s="35"/>
      <c r="K9" s="35"/>
      <c r="L9" s="35"/>
    </row>
    <row r="10" spans="1:12" x14ac:dyDescent="0.3">
      <c r="A10" s="178" t="str">
        <f>'EPWP Employees'!A10</f>
        <v>FULLNAME</v>
      </c>
      <c r="B10" s="178" t="str">
        <f>'EPWP Employees'!B10</f>
        <v>ID NUMBER</v>
      </c>
      <c r="C10" s="83">
        <v>1</v>
      </c>
      <c r="D10" s="83">
        <v>2</v>
      </c>
      <c r="E10" s="83">
        <v>3</v>
      </c>
      <c r="F10" s="83">
        <v>4</v>
      </c>
      <c r="G10" s="83">
        <v>5</v>
      </c>
      <c r="H10" s="84">
        <v>6</v>
      </c>
      <c r="I10" s="84">
        <v>7</v>
      </c>
      <c r="J10" s="77">
        <v>8</v>
      </c>
      <c r="K10" s="77">
        <v>9</v>
      </c>
      <c r="L10" s="77" t="s">
        <v>62</v>
      </c>
    </row>
    <row r="11" spans="1:12" x14ac:dyDescent="0.3">
      <c r="A11" s="178"/>
      <c r="B11" s="178"/>
      <c r="C11" s="85">
        <f>'Service Notes'!C12</f>
        <v>46082</v>
      </c>
      <c r="D11" s="85">
        <f>'Service Notes'!M12</f>
        <v>46092</v>
      </c>
      <c r="E11" s="85">
        <f>'Service Notes'!N12</f>
        <v>46093</v>
      </c>
      <c r="F11" s="85">
        <f>'Service Notes'!O12</f>
        <v>46094</v>
      </c>
      <c r="G11" s="85">
        <f>'Service Notes'!P12</f>
        <v>46095</v>
      </c>
      <c r="H11" s="85">
        <f>'Service Notes'!Q12</f>
        <v>46096</v>
      </c>
      <c r="I11" s="85">
        <f>'Service Notes'!R12</f>
        <v>46097</v>
      </c>
      <c r="J11" s="85">
        <f>'Service Notes'!S12</f>
        <v>46098</v>
      </c>
      <c r="K11" s="85">
        <f>'Service Notes'!T12</f>
        <v>46099</v>
      </c>
      <c r="L11" s="77"/>
    </row>
    <row r="12" spans="1:12" x14ac:dyDescent="0.3">
      <c r="A12" t="str">
        <f>IF('EPWP Employees'!A11="","",'EPWP Employees'!A11)</f>
        <v>Phuti Kololo</v>
      </c>
      <c r="B12" t="str">
        <f>IF('EPWP Employees'!B11="","",'EPWP Employees'!B11)</f>
        <v>9305225537087</v>
      </c>
      <c r="C12" s="78" t="b">
        <v>0</v>
      </c>
      <c r="D12" s="78" t="b">
        <v>0</v>
      </c>
      <c r="E12" s="78" t="b">
        <v>0</v>
      </c>
      <c r="F12" s="78" t="b">
        <v>0</v>
      </c>
      <c r="G12" s="78" t="b">
        <v>0</v>
      </c>
      <c r="H12" s="78" t="b">
        <v>0</v>
      </c>
      <c r="I12" s="78" t="b">
        <v>0</v>
      </c>
      <c r="J12" s="78" t="b">
        <v>0</v>
      </c>
      <c r="K12" s="78" t="b">
        <v>0</v>
      </c>
      <c r="L12" s="74">
        <f>COUNTIF(C12:K12,TRUE)</f>
        <v>0</v>
      </c>
    </row>
    <row r="13" spans="1:12" x14ac:dyDescent="0.3">
      <c r="A13" t="str">
        <f>IF('EPWP Employees'!A12="","",'EPWP Employees'!A12)</f>
        <v>Angelina Nomsa Ndlela</v>
      </c>
      <c r="B13" t="str">
        <f>IF('EPWP Employees'!B12="","",'EPWP Employees'!B12)</f>
        <v>6806201263088</v>
      </c>
      <c r="C13" s="78" t="b">
        <v>0</v>
      </c>
      <c r="D13" s="78" t="b">
        <v>0</v>
      </c>
      <c r="E13" s="78" t="b">
        <v>0</v>
      </c>
      <c r="F13" s="78" t="b">
        <v>0</v>
      </c>
      <c r="G13" s="78" t="b">
        <v>0</v>
      </c>
      <c r="H13" s="78" t="b">
        <v>0</v>
      </c>
      <c r="I13" s="78" t="b">
        <v>0</v>
      </c>
      <c r="J13" s="78" t="b">
        <v>0</v>
      </c>
      <c r="K13" s="78" t="b">
        <v>0</v>
      </c>
      <c r="L13" s="74">
        <f t="shared" ref="L13:L41" si="0">COUNTIF(C13:K13,TRUE)</f>
        <v>0</v>
      </c>
    </row>
    <row r="14" spans="1:12" x14ac:dyDescent="0.3">
      <c r="A14" t="str">
        <f>IF('EPWP Employees'!A13="","",'EPWP Employees'!A13)</f>
        <v>Sbongile Josephine Vilakazi</v>
      </c>
      <c r="B14" t="str">
        <f>IF('EPWP Employees'!B13="","",'EPWP Employees'!B13)</f>
        <v>7509221121083</v>
      </c>
      <c r="C14" s="78" t="b">
        <v>0</v>
      </c>
      <c r="D14" s="78" t="b">
        <v>0</v>
      </c>
      <c r="E14" s="78" t="b">
        <v>0</v>
      </c>
      <c r="F14" s="78" t="b">
        <v>0</v>
      </c>
      <c r="G14" s="78" t="b">
        <v>0</v>
      </c>
      <c r="H14" s="78" t="b">
        <v>0</v>
      </c>
      <c r="I14" s="78" t="b">
        <v>0</v>
      </c>
      <c r="J14" s="78" t="b">
        <v>0</v>
      </c>
      <c r="K14" s="78" t="b">
        <v>0</v>
      </c>
      <c r="L14" s="74">
        <f t="shared" si="0"/>
        <v>0</v>
      </c>
    </row>
    <row r="15" spans="1:12" x14ac:dyDescent="0.3">
      <c r="A15" t="str">
        <f>IF('EPWP Employees'!A14="","",'EPWP Employees'!A14)</f>
        <v>Pop Johannes Sebaiwa</v>
      </c>
      <c r="B15" t="str">
        <f>IF('EPWP Employees'!B14="","",'EPWP Employees'!B14)</f>
        <v>8202015595089</v>
      </c>
      <c r="C15" s="78" t="b">
        <v>0</v>
      </c>
      <c r="D15" s="78" t="b">
        <v>0</v>
      </c>
      <c r="E15" s="78" t="b">
        <v>0</v>
      </c>
      <c r="F15" s="78" t="b">
        <v>0</v>
      </c>
      <c r="G15" s="78" t="b">
        <v>0</v>
      </c>
      <c r="H15" s="78" t="b">
        <v>0</v>
      </c>
      <c r="I15" s="78" t="b">
        <v>0</v>
      </c>
      <c r="J15" s="78" t="b">
        <v>0</v>
      </c>
      <c r="K15" s="78" t="b">
        <v>0</v>
      </c>
      <c r="L15" s="74">
        <f t="shared" si="0"/>
        <v>0</v>
      </c>
    </row>
    <row r="16" spans="1:12" x14ac:dyDescent="0.3">
      <c r="A16" t="str">
        <f>IF('EPWP Employees'!A15="","",'EPWP Employees'!A15)</f>
        <v>Sebakiswe Florah Makala</v>
      </c>
      <c r="B16" t="str">
        <f>IF('EPWP Employees'!B15="","",'EPWP Employees'!B15)</f>
        <v>8003051321087</v>
      </c>
      <c r="C16" s="78" t="b">
        <v>0</v>
      </c>
      <c r="D16" s="78" t="b">
        <v>0</v>
      </c>
      <c r="E16" s="78" t="b">
        <v>0</v>
      </c>
      <c r="F16" s="78" t="b">
        <v>0</v>
      </c>
      <c r="G16" s="78" t="b">
        <v>0</v>
      </c>
      <c r="H16" s="78" t="b">
        <v>0</v>
      </c>
      <c r="I16" s="78" t="b">
        <v>0</v>
      </c>
      <c r="J16" s="78" t="b">
        <v>0</v>
      </c>
      <c r="K16" s="78" t="b">
        <v>0</v>
      </c>
      <c r="L16" s="74">
        <f t="shared" si="0"/>
        <v>0</v>
      </c>
    </row>
    <row r="17" spans="1:12" x14ac:dyDescent="0.3">
      <c r="A17" t="str">
        <f>IF('EPWP Employees'!A16="","",'EPWP Employees'!A16)</f>
        <v>Tiny Johanna Pine</v>
      </c>
      <c r="B17" t="str">
        <f>IF('EPWP Employees'!B16="","",'EPWP Employees'!B16)</f>
        <v>8311170776085</v>
      </c>
      <c r="C17" s="78" t="b">
        <v>0</v>
      </c>
      <c r="D17" s="78" t="b">
        <v>0</v>
      </c>
      <c r="E17" s="78" t="b">
        <v>0</v>
      </c>
      <c r="F17" s="78" t="b">
        <v>0</v>
      </c>
      <c r="G17" s="78" t="b">
        <v>0</v>
      </c>
      <c r="H17" s="78" t="b">
        <v>0</v>
      </c>
      <c r="I17" s="78" t="b">
        <v>0</v>
      </c>
      <c r="J17" s="78" t="b">
        <v>0</v>
      </c>
      <c r="K17" s="78" t="b">
        <v>0</v>
      </c>
      <c r="L17" s="74">
        <f t="shared" si="0"/>
        <v>0</v>
      </c>
    </row>
    <row r="18" spans="1:12" x14ac:dyDescent="0.3">
      <c r="A18" t="str">
        <f>IF('EPWP Employees'!A17="","",'EPWP Employees'!A17)</f>
        <v>Gomolemo Ndlovu</v>
      </c>
      <c r="B18" t="str">
        <f>IF('EPWP Employees'!B17="","",'EPWP Employees'!B17)</f>
        <v>9503010642084</v>
      </c>
      <c r="C18" s="78" t="b">
        <v>0</v>
      </c>
      <c r="D18" s="78" t="b">
        <v>0</v>
      </c>
      <c r="E18" s="78" t="b">
        <v>0</v>
      </c>
      <c r="F18" s="78" t="b">
        <v>0</v>
      </c>
      <c r="G18" s="78" t="b">
        <v>0</v>
      </c>
      <c r="H18" s="78" t="b">
        <v>0</v>
      </c>
      <c r="I18" s="78" t="b">
        <v>0</v>
      </c>
      <c r="J18" s="78" t="b">
        <v>0</v>
      </c>
      <c r="K18" s="78" t="b">
        <v>0</v>
      </c>
      <c r="L18" s="74">
        <f t="shared" si="0"/>
        <v>0</v>
      </c>
    </row>
    <row r="19" spans="1:12" x14ac:dyDescent="0.3">
      <c r="A19" t="str">
        <f>IF('EPWP Employees'!A18="","",'EPWP Employees'!A18)</f>
        <v>Ntsako Kubai</v>
      </c>
      <c r="B19" t="str">
        <f>IF('EPWP Employees'!B18="","",'EPWP Employees'!B18)</f>
        <v>9805131078084</v>
      </c>
      <c r="C19" s="78" t="b">
        <v>0</v>
      </c>
      <c r="D19" s="78" t="b">
        <v>0</v>
      </c>
      <c r="E19" s="78" t="b">
        <v>0</v>
      </c>
      <c r="F19" s="78" t="b">
        <v>0</v>
      </c>
      <c r="G19" s="78" t="b">
        <v>0</v>
      </c>
      <c r="H19" s="78" t="b">
        <v>0</v>
      </c>
      <c r="I19" s="78" t="b">
        <v>0</v>
      </c>
      <c r="J19" s="78" t="b">
        <v>0</v>
      </c>
      <c r="K19" s="78" t="b">
        <v>0</v>
      </c>
      <c r="L19" s="74">
        <f t="shared" si="0"/>
        <v>0</v>
      </c>
    </row>
    <row r="20" spans="1:12" x14ac:dyDescent="0.3">
      <c r="A20" t="str">
        <f>IF('EPWP Employees'!A19="","",'EPWP Employees'!A19)</f>
        <v>Dorcas Marutlolle</v>
      </c>
      <c r="B20" t="str">
        <f>IF('EPWP Employees'!B19="","",'EPWP Employees'!B19)</f>
        <v>9809260260083</v>
      </c>
      <c r="C20" s="78" t="b">
        <v>0</v>
      </c>
      <c r="D20" s="78" t="b">
        <v>0</v>
      </c>
      <c r="E20" s="78" t="b">
        <v>0</v>
      </c>
      <c r="F20" s="78" t="b">
        <v>0</v>
      </c>
      <c r="G20" s="78" t="b">
        <v>0</v>
      </c>
      <c r="H20" s="78" t="b">
        <v>0</v>
      </c>
      <c r="I20" s="78" t="b">
        <v>0</v>
      </c>
      <c r="J20" s="78" t="b">
        <v>0</v>
      </c>
      <c r="K20" s="78" t="b">
        <v>0</v>
      </c>
      <c r="L20" s="74">
        <f t="shared" si="0"/>
        <v>0</v>
      </c>
    </row>
    <row r="21" spans="1:12" x14ac:dyDescent="0.3">
      <c r="A21" t="str">
        <f>IF('EPWP Employees'!A20="","",'EPWP Employees'!A20)</f>
        <v>Rebecca Violet Kubeka</v>
      </c>
      <c r="B21" t="str">
        <f>IF('EPWP Employees'!B20="","",'EPWP Employees'!B20)</f>
        <v>7406040339089</v>
      </c>
      <c r="C21" s="78" t="b">
        <v>0</v>
      </c>
      <c r="D21" s="78" t="b">
        <v>0</v>
      </c>
      <c r="E21" s="78" t="b">
        <v>0</v>
      </c>
      <c r="F21" s="78" t="b">
        <v>0</v>
      </c>
      <c r="G21" s="78" t="b">
        <v>0</v>
      </c>
      <c r="H21" s="78" t="b">
        <v>0</v>
      </c>
      <c r="I21" s="78" t="b">
        <v>0</v>
      </c>
      <c r="J21" s="78" t="b">
        <v>0</v>
      </c>
      <c r="K21" s="78" t="b">
        <v>0</v>
      </c>
      <c r="L21" s="74">
        <f t="shared" si="0"/>
        <v>0</v>
      </c>
    </row>
    <row r="22" spans="1:12" x14ac:dyDescent="0.3">
      <c r="A22" t="str">
        <f>IF('EPWP Employees'!A21="","",'EPWP Employees'!A21)</f>
        <v>Olivia Kateko Khoza</v>
      </c>
      <c r="B22" t="str">
        <f>IF('EPWP Employees'!B21="","",'EPWP Employees'!B21)</f>
        <v>8606060763089</v>
      </c>
      <c r="C22" s="78" t="b">
        <v>0</v>
      </c>
      <c r="D22" s="78" t="b">
        <v>0</v>
      </c>
      <c r="E22" s="78" t="b">
        <v>0</v>
      </c>
      <c r="F22" s="78" t="b">
        <v>0</v>
      </c>
      <c r="G22" s="78" t="b">
        <v>0</v>
      </c>
      <c r="H22" s="78" t="b">
        <v>0</v>
      </c>
      <c r="I22" s="78" t="b">
        <v>0</v>
      </c>
      <c r="J22" s="78" t="b">
        <v>0</v>
      </c>
      <c r="K22" s="78" t="b">
        <v>0</v>
      </c>
      <c r="L22" s="74">
        <f t="shared" si="0"/>
        <v>0</v>
      </c>
    </row>
    <row r="23" spans="1:12" x14ac:dyDescent="0.3">
      <c r="A23" t="str">
        <f>IF('EPWP Employees'!A22="","",'EPWP Employees'!A22)</f>
        <v>Lepatla Goodwill Ngoetjana</v>
      </c>
      <c r="B23" t="str">
        <f>IF('EPWP Employees'!B22="","",'EPWP Employees'!B22)</f>
        <v>8212166424088</v>
      </c>
      <c r="C23" s="78" t="b">
        <v>0</v>
      </c>
      <c r="D23" s="78" t="b">
        <v>0</v>
      </c>
      <c r="E23" s="78" t="b">
        <v>0</v>
      </c>
      <c r="F23" s="78" t="b">
        <v>0</v>
      </c>
      <c r="G23" s="78" t="b">
        <v>0</v>
      </c>
      <c r="H23" s="78" t="b">
        <v>0</v>
      </c>
      <c r="I23" s="78" t="b">
        <v>0</v>
      </c>
      <c r="J23" s="78" t="b">
        <v>0</v>
      </c>
      <c r="K23" s="78" t="b">
        <v>0</v>
      </c>
      <c r="L23" s="74">
        <f t="shared" si="0"/>
        <v>0</v>
      </c>
    </row>
    <row r="24" spans="1:12" x14ac:dyDescent="0.3">
      <c r="A24" t="str">
        <f>IF('EPWP Employees'!A23="","",'EPWP Employees'!A23)</f>
        <v>Jabulani Martin Kubeka</v>
      </c>
      <c r="B24" t="str">
        <f>IF('EPWP Employees'!B23="","",'EPWP Employees'!B23)</f>
        <v>7102026505088</v>
      </c>
      <c r="C24" s="78" t="b">
        <v>0</v>
      </c>
      <c r="D24" s="78" t="b">
        <v>0</v>
      </c>
      <c r="E24" s="78" t="b">
        <v>0</v>
      </c>
      <c r="F24" s="78" t="b">
        <v>0</v>
      </c>
      <c r="G24" s="78" t="b">
        <v>0</v>
      </c>
      <c r="H24" s="78" t="b">
        <v>0</v>
      </c>
      <c r="I24" s="78" t="b">
        <v>0</v>
      </c>
      <c r="J24" s="78" t="b">
        <v>0</v>
      </c>
      <c r="K24" s="78" t="b">
        <v>0</v>
      </c>
      <c r="L24" s="74">
        <f t="shared" si="0"/>
        <v>0</v>
      </c>
    </row>
    <row r="25" spans="1:12" x14ac:dyDescent="0.3">
      <c r="A25" t="str">
        <f>IF('EPWP Employees'!A24="","",'EPWP Employees'!A24)</f>
        <v>Sindile Prudence Maimogole</v>
      </c>
      <c r="B25" t="str">
        <f>IF('EPWP Employees'!B24="","",'EPWP Employees'!B24)</f>
        <v>8501200776085</v>
      </c>
      <c r="C25" s="78" t="b">
        <v>0</v>
      </c>
      <c r="D25" s="78" t="b">
        <v>0</v>
      </c>
      <c r="E25" s="78" t="b">
        <v>0</v>
      </c>
      <c r="F25" s="78" t="b">
        <v>0</v>
      </c>
      <c r="G25" s="78" t="b">
        <v>0</v>
      </c>
      <c r="H25" s="78" t="b">
        <v>0</v>
      </c>
      <c r="I25" s="78" t="b">
        <v>0</v>
      </c>
      <c r="J25" s="78" t="b">
        <v>0</v>
      </c>
      <c r="K25" s="78" t="b">
        <v>0</v>
      </c>
      <c r="L25" s="74">
        <f t="shared" si="0"/>
        <v>0</v>
      </c>
    </row>
    <row r="26" spans="1:12" x14ac:dyDescent="0.3">
      <c r="A26" t="str">
        <f>IF('EPWP Employees'!A25="","",'EPWP Employees'!A25)</f>
        <v>Seipati Anna Makgethe</v>
      </c>
      <c r="B26" t="str">
        <f>IF('EPWP Employees'!B25="","",'EPWP Employees'!B25)</f>
        <v>8110281089085</v>
      </c>
      <c r="C26" s="78" t="b">
        <v>0</v>
      </c>
      <c r="D26" s="78" t="b">
        <v>0</v>
      </c>
      <c r="E26" s="78" t="b">
        <v>0</v>
      </c>
      <c r="F26" s="78" t="b">
        <v>0</v>
      </c>
      <c r="G26" s="78" t="b">
        <v>0</v>
      </c>
      <c r="H26" s="78" t="b">
        <v>0</v>
      </c>
      <c r="I26" s="78" t="b">
        <v>0</v>
      </c>
      <c r="J26" s="78" t="b">
        <v>0</v>
      </c>
      <c r="K26" s="78" t="b">
        <v>0</v>
      </c>
      <c r="L26" s="74">
        <f t="shared" si="0"/>
        <v>0</v>
      </c>
    </row>
    <row r="27" spans="1:12" x14ac:dyDescent="0.3">
      <c r="A27" t="str">
        <f>IF('EPWP Employees'!A26="","",'EPWP Employees'!A26)</f>
        <v>Lebogang Tlou</v>
      </c>
      <c r="B27" t="str">
        <f>IF('EPWP Employees'!B26="","",'EPWP Employees'!B26)</f>
        <v>9307190984088</v>
      </c>
      <c r="C27" s="78" t="b">
        <v>0</v>
      </c>
      <c r="D27" s="78" t="b">
        <v>0</v>
      </c>
      <c r="E27" s="78" t="b">
        <v>0</v>
      </c>
      <c r="F27" s="78" t="b">
        <v>0</v>
      </c>
      <c r="G27" s="78" t="b">
        <v>0</v>
      </c>
      <c r="H27" s="78" t="b">
        <v>0</v>
      </c>
      <c r="I27" s="78" t="b">
        <v>0</v>
      </c>
      <c r="J27" s="78" t="b">
        <v>0</v>
      </c>
      <c r="K27" s="78" t="b">
        <v>0</v>
      </c>
      <c r="L27" s="74">
        <f t="shared" si="0"/>
        <v>0</v>
      </c>
    </row>
    <row r="28" spans="1:12" x14ac:dyDescent="0.3">
      <c r="A28" t="str">
        <f>IF('EPWP Employees'!A27="","",'EPWP Employees'!A27)</f>
        <v>Dovhani Mulaudzi</v>
      </c>
      <c r="B28" t="str">
        <f>IF('EPWP Employees'!B27="","",'EPWP Employees'!B27)</f>
        <v>9601076110085</v>
      </c>
      <c r="C28" s="78" t="b">
        <v>0</v>
      </c>
      <c r="D28" s="78" t="b">
        <v>0</v>
      </c>
      <c r="E28" s="78" t="b">
        <v>0</v>
      </c>
      <c r="F28" s="78" t="b">
        <v>0</v>
      </c>
      <c r="G28" s="78" t="b">
        <v>0</v>
      </c>
      <c r="H28" s="78" t="b">
        <v>0</v>
      </c>
      <c r="I28" s="78" t="b">
        <v>0</v>
      </c>
      <c r="J28" s="78" t="b">
        <v>0</v>
      </c>
      <c r="K28" s="78" t="b">
        <v>0</v>
      </c>
      <c r="L28" s="74">
        <f t="shared" si="0"/>
        <v>0</v>
      </c>
    </row>
    <row r="29" spans="1:12" x14ac:dyDescent="0.3">
      <c r="A29" t="str">
        <f>IF('EPWP Employees'!A28="","",'EPWP Employees'!A28)</f>
        <v>Sibongile Mkoko</v>
      </c>
      <c r="B29" t="str">
        <f>IF('EPWP Employees'!B28="","",'EPWP Employees'!B28)</f>
        <v>8908061065088</v>
      </c>
      <c r="C29" s="78" t="b">
        <v>0</v>
      </c>
      <c r="D29" s="78" t="b">
        <v>0</v>
      </c>
      <c r="E29" s="78" t="b">
        <v>0</v>
      </c>
      <c r="F29" s="78" t="b">
        <v>0</v>
      </c>
      <c r="G29" s="78" t="b">
        <v>0</v>
      </c>
      <c r="H29" s="78" t="b">
        <v>0</v>
      </c>
      <c r="I29" s="78" t="b">
        <v>0</v>
      </c>
      <c r="J29" s="78" t="b">
        <v>0</v>
      </c>
      <c r="K29" s="78" t="b">
        <v>0</v>
      </c>
      <c r="L29" s="74">
        <f t="shared" si="0"/>
        <v>0</v>
      </c>
    </row>
    <row r="30" spans="1:12" x14ac:dyDescent="0.3">
      <c r="A30" t="str">
        <f>IF('EPWP Employees'!A29="","",'EPWP Employees'!A29)</f>
        <v>Karabo Ramalepe</v>
      </c>
      <c r="B30" t="str">
        <f>IF('EPWP Employees'!B29="","",'EPWP Employees'!B29)</f>
        <v>8306205458089</v>
      </c>
      <c r="C30" s="78" t="b">
        <v>0</v>
      </c>
      <c r="D30" s="78" t="b">
        <v>0</v>
      </c>
      <c r="E30" s="78" t="b">
        <v>0</v>
      </c>
      <c r="F30" s="78" t="b">
        <v>0</v>
      </c>
      <c r="G30" s="78" t="b">
        <v>0</v>
      </c>
      <c r="H30" s="78" t="b">
        <v>0</v>
      </c>
      <c r="I30" s="78" t="b">
        <v>0</v>
      </c>
      <c r="J30" s="78" t="b">
        <v>0</v>
      </c>
      <c r="K30" s="78" t="b">
        <v>0</v>
      </c>
      <c r="L30" s="74">
        <f t="shared" si="0"/>
        <v>0</v>
      </c>
    </row>
    <row r="31" spans="1:12" x14ac:dyDescent="0.3">
      <c r="A31" t="str">
        <f>IF('EPWP Employees'!A30="","",'EPWP Employees'!A30)</f>
        <v>Sindy Klein</v>
      </c>
      <c r="B31" t="str">
        <f>IF('EPWP Employees'!B30="","",'EPWP Employees'!B30)</f>
        <v>7408140901081</v>
      </c>
      <c r="C31" s="78" t="b">
        <v>0</v>
      </c>
      <c r="D31" s="78" t="b">
        <v>0</v>
      </c>
      <c r="E31" s="78" t="b">
        <v>0</v>
      </c>
      <c r="F31" s="78" t="b">
        <v>0</v>
      </c>
      <c r="G31" s="78" t="b">
        <v>0</v>
      </c>
      <c r="H31" s="78" t="b">
        <v>0</v>
      </c>
      <c r="I31" s="78" t="b">
        <v>0</v>
      </c>
      <c r="J31" s="78" t="b">
        <v>0</v>
      </c>
      <c r="K31" s="78" t="b">
        <v>0</v>
      </c>
      <c r="L31" s="74">
        <f t="shared" si="0"/>
        <v>0</v>
      </c>
    </row>
    <row r="32" spans="1:12" x14ac:dyDescent="0.3">
      <c r="A32" t="str">
        <f>IF('EPWP Employees'!A31="","",'EPWP Employees'!A31)</f>
        <v>Matome  Mahasha</v>
      </c>
      <c r="B32" t="str">
        <f>IF('EPWP Employees'!B31="","",'EPWP Employees'!B31)</f>
        <v>7501016014086</v>
      </c>
      <c r="C32" s="78" t="b">
        <v>0</v>
      </c>
      <c r="D32" s="78" t="b">
        <v>0</v>
      </c>
      <c r="E32" s="78" t="b">
        <v>0</v>
      </c>
      <c r="F32" s="78" t="b">
        <v>0</v>
      </c>
      <c r="G32" s="78" t="b">
        <v>0</v>
      </c>
      <c r="H32" s="78" t="b">
        <v>0</v>
      </c>
      <c r="I32" s="78" t="b">
        <v>0</v>
      </c>
      <c r="J32" s="78" t="b">
        <v>0</v>
      </c>
      <c r="K32" s="78" t="b">
        <v>0</v>
      </c>
      <c r="L32" s="74">
        <f t="shared" si="0"/>
        <v>0</v>
      </c>
    </row>
    <row r="33" spans="1:12" x14ac:dyDescent="0.3">
      <c r="A33" t="str">
        <f>IF('EPWP Employees'!A32="","",'EPWP Employees'!A32)</f>
        <v>Thandeka Radebe</v>
      </c>
      <c r="B33" t="str">
        <f>IF('EPWP Employees'!B32="","",'EPWP Employees'!B32)</f>
        <v>9102240807086</v>
      </c>
      <c r="C33" s="78" t="b">
        <v>0</v>
      </c>
      <c r="D33" s="78" t="b">
        <v>0</v>
      </c>
      <c r="E33" s="78" t="b">
        <v>0</v>
      </c>
      <c r="F33" s="78" t="b">
        <v>0</v>
      </c>
      <c r="G33" s="78" t="b">
        <v>0</v>
      </c>
      <c r="H33" s="78" t="b">
        <v>0</v>
      </c>
      <c r="I33" s="78" t="b">
        <v>0</v>
      </c>
      <c r="J33" s="78" t="b">
        <v>0</v>
      </c>
      <c r="K33" s="78" t="b">
        <v>0</v>
      </c>
      <c r="L33" s="74">
        <f t="shared" si="0"/>
        <v>0</v>
      </c>
    </row>
    <row r="34" spans="1:12" x14ac:dyDescent="0.3">
      <c r="A34" t="str">
        <f>IF('EPWP Employees'!A33="","",'EPWP Employees'!A33)</f>
        <v>Mavis Ratlhagane</v>
      </c>
      <c r="B34" t="str">
        <f>IF('EPWP Employees'!B33="","",'EPWP Employees'!B33)</f>
        <v>7304041326082</v>
      </c>
      <c r="C34" s="78" t="b">
        <v>0</v>
      </c>
      <c r="D34" s="78" t="b">
        <v>0</v>
      </c>
      <c r="E34" s="78" t="b">
        <v>0</v>
      </c>
      <c r="F34" s="78" t="b">
        <v>0</v>
      </c>
      <c r="G34" s="78" t="b">
        <v>0</v>
      </c>
      <c r="H34" s="78" t="b">
        <v>0</v>
      </c>
      <c r="I34" s="78" t="b">
        <v>0</v>
      </c>
      <c r="J34" s="78" t="b">
        <v>0</v>
      </c>
      <c r="K34" s="78" t="b">
        <v>0</v>
      </c>
      <c r="L34" s="74">
        <f t="shared" si="0"/>
        <v>0</v>
      </c>
    </row>
    <row r="35" spans="1:12" x14ac:dyDescent="0.3">
      <c r="A35" t="str">
        <f>IF('EPWP Employees'!A34="","",'EPWP Employees'!A34)</f>
        <v>Tsholofelo Selinah Mogoto</v>
      </c>
      <c r="B35" t="str">
        <f>IF('EPWP Employees'!B34="","",'EPWP Employees'!B34)</f>
        <v>9703270988082</v>
      </c>
      <c r="C35" s="78" t="b">
        <v>0</v>
      </c>
      <c r="D35" s="78" t="b">
        <v>0</v>
      </c>
      <c r="E35" s="78" t="b">
        <v>0</v>
      </c>
      <c r="F35" s="78" t="b">
        <v>0</v>
      </c>
      <c r="G35" s="78" t="b">
        <v>0</v>
      </c>
      <c r="H35" s="78" t="b">
        <v>0</v>
      </c>
      <c r="I35" s="78" t="b">
        <v>0</v>
      </c>
      <c r="J35" s="78" t="b">
        <v>0</v>
      </c>
      <c r="K35" s="78" t="b">
        <v>0</v>
      </c>
      <c r="L35" s="74">
        <f t="shared" si="0"/>
        <v>0</v>
      </c>
    </row>
    <row r="36" spans="1:12" x14ac:dyDescent="0.3">
      <c r="A36" t="str">
        <f>IF('EPWP Employees'!A35="","",'EPWP Employees'!A35)</f>
        <v>Nono Pauline Moima</v>
      </c>
      <c r="B36" t="str">
        <f>IF('EPWP Employees'!B35="","",'EPWP Employees'!B35)</f>
        <v>9111191057088</v>
      </c>
      <c r="C36" s="78" t="b">
        <v>0</v>
      </c>
      <c r="D36" s="78" t="b">
        <v>0</v>
      </c>
      <c r="E36" s="78" t="b">
        <v>0</v>
      </c>
      <c r="F36" s="78" t="b">
        <v>0</v>
      </c>
      <c r="G36" s="78" t="b">
        <v>0</v>
      </c>
      <c r="H36" s="78" t="b">
        <v>0</v>
      </c>
      <c r="I36" s="78" t="b">
        <v>0</v>
      </c>
      <c r="J36" s="78" t="b">
        <v>0</v>
      </c>
      <c r="K36" s="78" t="b">
        <v>0</v>
      </c>
      <c r="L36" s="74">
        <f t="shared" si="0"/>
        <v>0</v>
      </c>
    </row>
    <row r="37" spans="1:12" x14ac:dyDescent="0.3">
      <c r="A37" t="str">
        <f>IF('EPWP Employees'!A36="","",'EPWP Employees'!A36)</f>
        <v>Lindiwe Prudence Mahlangu</v>
      </c>
      <c r="B37" t="str">
        <f>IF('EPWP Employees'!B36="","",'EPWP Employees'!B36)</f>
        <v>8107300402083</v>
      </c>
      <c r="C37" s="78" t="b">
        <v>0</v>
      </c>
      <c r="D37" s="78" t="b">
        <v>0</v>
      </c>
      <c r="E37" s="78" t="b">
        <v>0</v>
      </c>
      <c r="F37" s="78" t="b">
        <v>0</v>
      </c>
      <c r="G37" s="78" t="b">
        <v>0</v>
      </c>
      <c r="H37" s="78" t="b">
        <v>0</v>
      </c>
      <c r="I37" s="78" t="b">
        <v>0</v>
      </c>
      <c r="J37" s="78" t="b">
        <v>0</v>
      </c>
      <c r="K37" s="78" t="b">
        <v>0</v>
      </c>
      <c r="L37" s="74">
        <f t="shared" si="0"/>
        <v>0</v>
      </c>
    </row>
    <row r="38" spans="1:12" x14ac:dyDescent="0.3">
      <c r="A38" t="str">
        <f>IF('EPWP Employees'!A37="","",'EPWP Employees'!A37)</f>
        <v>Elsie Makganana Mabasu</v>
      </c>
      <c r="B38" t="str">
        <f>IF('EPWP Employees'!B37="","",'EPWP Employees'!B37)</f>
        <v>8506131200089</v>
      </c>
      <c r="C38" s="78" t="b">
        <v>0</v>
      </c>
      <c r="D38" s="78" t="b">
        <v>0</v>
      </c>
      <c r="E38" s="78" t="b">
        <v>0</v>
      </c>
      <c r="F38" s="78" t="b">
        <v>0</v>
      </c>
      <c r="G38" s="78" t="b">
        <v>0</v>
      </c>
      <c r="H38" s="78" t="b">
        <v>0</v>
      </c>
      <c r="I38" s="78" t="b">
        <v>0</v>
      </c>
      <c r="J38" s="78" t="b">
        <v>0</v>
      </c>
      <c r="K38" s="78" t="b">
        <v>0</v>
      </c>
      <c r="L38" s="74">
        <f t="shared" si="0"/>
        <v>0</v>
      </c>
    </row>
    <row r="39" spans="1:12" x14ac:dyDescent="0.3">
      <c r="A39" t="str">
        <f>IF('EPWP Employees'!A38="","",'EPWP Employees'!A38)</f>
        <v xml:space="preserve"> Phenki Mmatlwa</v>
      </c>
      <c r="B39" t="str">
        <f>IF('EPWP Employees'!B38="","",'EPWP Employees'!B38)</f>
        <v>9408060764087</v>
      </c>
      <c r="C39" s="78" t="b">
        <v>0</v>
      </c>
      <c r="D39" s="78" t="b">
        <v>0</v>
      </c>
      <c r="E39" s="78" t="b">
        <v>0</v>
      </c>
      <c r="F39" s="78" t="b">
        <v>0</v>
      </c>
      <c r="G39" s="78" t="b">
        <v>0</v>
      </c>
      <c r="H39" s="78" t="b">
        <v>0</v>
      </c>
      <c r="I39" s="78" t="b">
        <v>0</v>
      </c>
      <c r="J39" s="78" t="b">
        <v>0</v>
      </c>
      <c r="K39" s="78" t="b">
        <v>0</v>
      </c>
      <c r="L39" s="74">
        <f t="shared" si="0"/>
        <v>0</v>
      </c>
    </row>
    <row r="40" spans="1:12" x14ac:dyDescent="0.3">
      <c r="A40" t="str">
        <f>IF('EPWP Employees'!A39="","",'EPWP Employees'!A39)</f>
        <v>Martha Maluleke</v>
      </c>
      <c r="B40" t="str">
        <f>IF('EPWP Employees'!B39="","",'EPWP Employees'!B39)</f>
        <v>9208251142089</v>
      </c>
      <c r="C40" s="78" t="b">
        <v>0</v>
      </c>
      <c r="D40" s="78" t="b">
        <v>0</v>
      </c>
      <c r="E40" s="78" t="b">
        <v>0</v>
      </c>
      <c r="F40" s="78" t="b">
        <v>0</v>
      </c>
      <c r="G40" s="78" t="b">
        <v>0</v>
      </c>
      <c r="H40" s="78" t="b">
        <v>0</v>
      </c>
      <c r="I40" s="78" t="b">
        <v>0</v>
      </c>
      <c r="J40" s="78" t="b">
        <v>0</v>
      </c>
      <c r="K40" s="78" t="b">
        <v>0</v>
      </c>
      <c r="L40" s="74">
        <f t="shared" si="0"/>
        <v>0</v>
      </c>
    </row>
    <row r="41" spans="1:12" x14ac:dyDescent="0.3">
      <c r="A41" t="str">
        <f>IF('EPWP Employees'!A40="","",'EPWP Employees'!A40)</f>
        <v>George Mlambo</v>
      </c>
      <c r="B41" t="str">
        <f>IF('EPWP Employees'!B40="","",'EPWP Employees'!B40)</f>
        <v>8705245844085</v>
      </c>
      <c r="C41" s="78" t="b">
        <v>0</v>
      </c>
      <c r="D41" s="78" t="b">
        <v>0</v>
      </c>
      <c r="E41" s="78" t="b">
        <v>0</v>
      </c>
      <c r="F41" s="78" t="b">
        <v>0</v>
      </c>
      <c r="G41" s="78" t="b">
        <v>0</v>
      </c>
      <c r="H41" s="78" t="b">
        <v>0</v>
      </c>
      <c r="I41" s="78" t="b">
        <v>0</v>
      </c>
      <c r="J41" s="78" t="b">
        <v>0</v>
      </c>
      <c r="K41" s="78" t="b">
        <v>0</v>
      </c>
      <c r="L41" s="74">
        <f t="shared" si="0"/>
        <v>0</v>
      </c>
    </row>
    <row r="42" spans="1:12" x14ac:dyDescent="0.3">
      <c r="A42" t="str">
        <f>IF('EPWP Employees'!A41="","",'EPWP Employees'!A41)</f>
        <v>Phinah Itumeleng Sekhaolelo</v>
      </c>
      <c r="B42" t="str">
        <f>IF('EPWP Employees'!B41="","",'EPWP Employees'!B41)</f>
        <v>8410251019082</v>
      </c>
      <c r="C42" s="78" t="b">
        <v>0</v>
      </c>
      <c r="D42" s="78" t="b">
        <v>0</v>
      </c>
      <c r="E42" s="78" t="b">
        <v>0</v>
      </c>
      <c r="F42" s="78" t="b">
        <v>0</v>
      </c>
      <c r="G42" s="78" t="b">
        <v>0</v>
      </c>
      <c r="H42" s="78" t="b">
        <v>0</v>
      </c>
      <c r="I42" s="78" t="b">
        <v>0</v>
      </c>
      <c r="J42" s="78" t="b">
        <v>0</v>
      </c>
      <c r="K42" s="78" t="b">
        <v>0</v>
      </c>
      <c r="L42" s="74">
        <f t="shared" ref="L42:L48" si="1">COUNTIF(C42:K42,TRUE)</f>
        <v>0</v>
      </c>
    </row>
    <row r="43" spans="1:12" x14ac:dyDescent="0.3">
      <c r="A43" t="str">
        <f>IF('EPWP Employees'!A42="","",'EPWP Employees'!A42)</f>
        <v>Anna Dipuo Ndlovu</v>
      </c>
      <c r="B43" t="str">
        <f>IF('EPWP Employees'!B42="","",'EPWP Employees'!B42)</f>
        <v>8503301044082</v>
      </c>
      <c r="C43" s="78" t="b">
        <v>0</v>
      </c>
      <c r="D43" s="78" t="b">
        <v>0</v>
      </c>
      <c r="E43" s="78" t="b">
        <v>0</v>
      </c>
      <c r="F43" s="78" t="b">
        <v>0</v>
      </c>
      <c r="G43" s="78" t="b">
        <v>0</v>
      </c>
      <c r="H43" s="78" t="b">
        <v>0</v>
      </c>
      <c r="I43" s="78" t="b">
        <v>0</v>
      </c>
      <c r="J43" s="78" t="b">
        <v>0</v>
      </c>
      <c r="K43" s="78" t="b">
        <v>0</v>
      </c>
      <c r="L43" s="74">
        <f t="shared" si="1"/>
        <v>0</v>
      </c>
    </row>
    <row r="44" spans="1:12" x14ac:dyDescent="0.3">
      <c r="A44" t="str">
        <f>IF('EPWP Employees'!A43="","",'EPWP Employees'!A43)</f>
        <v>Bridget Maila</v>
      </c>
      <c r="B44" t="str">
        <f>IF('EPWP Employees'!B43="","",'EPWP Employees'!B43)</f>
        <v>9012310999087</v>
      </c>
      <c r="C44" s="78" t="b">
        <v>0</v>
      </c>
      <c r="D44" s="78" t="b">
        <v>0</v>
      </c>
      <c r="E44" s="78" t="b">
        <v>0</v>
      </c>
      <c r="F44" s="78" t="b">
        <v>0</v>
      </c>
      <c r="G44" s="78" t="b">
        <v>0</v>
      </c>
      <c r="H44" s="78" t="b">
        <v>0</v>
      </c>
      <c r="I44" s="78" t="b">
        <v>0</v>
      </c>
      <c r="J44" s="78" t="b">
        <v>0</v>
      </c>
      <c r="K44" s="78" t="b">
        <v>0</v>
      </c>
      <c r="L44" s="74">
        <f t="shared" si="1"/>
        <v>0</v>
      </c>
    </row>
    <row r="45" spans="1:12" x14ac:dyDescent="0.3">
      <c r="A45" t="str">
        <f>IF('EPWP Employees'!A44="","",'EPWP Employees'!A44)</f>
        <v>Esther Chauke</v>
      </c>
      <c r="B45" t="str">
        <f>IF('EPWP Employees'!B44="","",'EPWP Employees'!B44)</f>
        <v>7406300600089</v>
      </c>
      <c r="C45" s="78" t="b">
        <v>0</v>
      </c>
      <c r="D45" s="78" t="b">
        <v>0</v>
      </c>
      <c r="E45" s="78" t="b">
        <v>0</v>
      </c>
      <c r="F45" s="78" t="b">
        <v>0</v>
      </c>
      <c r="G45" s="78" t="b">
        <v>0</v>
      </c>
      <c r="H45" s="78" t="b">
        <v>0</v>
      </c>
      <c r="I45" s="78" t="b">
        <v>0</v>
      </c>
      <c r="J45" s="78" t="b">
        <v>0</v>
      </c>
      <c r="K45" s="78" t="b">
        <v>0</v>
      </c>
      <c r="L45" s="74">
        <f t="shared" si="1"/>
        <v>0</v>
      </c>
    </row>
    <row r="46" spans="1:12" x14ac:dyDescent="0.3">
      <c r="A46" t="str">
        <f>IF('EPWP Employees'!A45="","",'EPWP Employees'!A45)</f>
        <v>Thato Austin Moja</v>
      </c>
      <c r="B46" t="str">
        <f>IF('EPWP Employees'!B45="","",'EPWP Employees'!B45)</f>
        <v>9711265641087</v>
      </c>
      <c r="C46" s="78" t="b">
        <v>0</v>
      </c>
      <c r="D46" s="78" t="b">
        <v>0</v>
      </c>
      <c r="E46" s="78" t="b">
        <v>0</v>
      </c>
      <c r="F46" s="78" t="b">
        <v>0</v>
      </c>
      <c r="G46" s="78" t="b">
        <v>0</v>
      </c>
      <c r="H46" s="78" t="b">
        <v>0</v>
      </c>
      <c r="I46" s="78" t="b">
        <v>0</v>
      </c>
      <c r="J46" s="78" t="b">
        <v>0</v>
      </c>
      <c r="K46" s="78" t="b">
        <v>0</v>
      </c>
      <c r="L46" s="74">
        <f t="shared" si="1"/>
        <v>0</v>
      </c>
    </row>
    <row r="47" spans="1:12" x14ac:dyDescent="0.3">
      <c r="A47" t="str">
        <f>IF('EPWP Employees'!A46="","",'EPWP Employees'!A46)</f>
        <v>Gabezwane Charles Mahlangu</v>
      </c>
      <c r="B47" t="str">
        <f>IF('EPWP Employees'!B46="","",'EPWP Employees'!B46)</f>
        <v>8108045950089</v>
      </c>
      <c r="C47" s="78" t="b">
        <v>0</v>
      </c>
      <c r="D47" s="78" t="b">
        <v>0</v>
      </c>
      <c r="E47" s="78" t="b">
        <v>0</v>
      </c>
      <c r="F47" s="78" t="b">
        <v>0</v>
      </c>
      <c r="G47" s="78" t="b">
        <v>0</v>
      </c>
      <c r="H47" s="78" t="b">
        <v>0</v>
      </c>
      <c r="I47" s="78" t="b">
        <v>0</v>
      </c>
      <c r="J47" s="78" t="b">
        <v>0</v>
      </c>
      <c r="K47" s="78" t="b">
        <v>0</v>
      </c>
      <c r="L47" s="74">
        <f t="shared" si="1"/>
        <v>0</v>
      </c>
    </row>
    <row r="48" spans="1:12" x14ac:dyDescent="0.3">
      <c r="A48" t="str">
        <f>IF('EPWP Employees'!A47="","",'EPWP Employees'!A47)</f>
        <v>Tsholofelo Michael Tshehlo</v>
      </c>
      <c r="B48" t="str">
        <f>IF('EPWP Employees'!B47="","",'EPWP Employees'!B47)</f>
        <v>9201196003086</v>
      </c>
      <c r="C48" s="78" t="b">
        <v>0</v>
      </c>
      <c r="D48" s="78" t="b">
        <v>0</v>
      </c>
      <c r="E48" s="78" t="b">
        <v>0</v>
      </c>
      <c r="F48" s="78" t="b">
        <v>0</v>
      </c>
      <c r="G48" s="78" t="b">
        <v>0</v>
      </c>
      <c r="H48" s="78" t="b">
        <v>0</v>
      </c>
      <c r="I48" s="78" t="b">
        <v>0</v>
      </c>
      <c r="J48" s="78" t="b">
        <v>0</v>
      </c>
      <c r="K48" s="78" t="b">
        <v>0</v>
      </c>
      <c r="L48" s="74">
        <f t="shared" si="1"/>
        <v>0</v>
      </c>
    </row>
    <row r="49" spans="1:12" x14ac:dyDescent="0.3">
      <c r="A49" t="str">
        <f>IF('EPWP Employees'!A48="","",'EPWP Employees'!A48)</f>
        <v>Margaret Mosoma</v>
      </c>
      <c r="B49" t="str">
        <f>IF('EPWP Employees'!B48="","",'EPWP Employees'!B48)</f>
        <v>8501040441080</v>
      </c>
      <c r="C49" s="78" t="b">
        <v>0</v>
      </c>
      <c r="D49" s="78" t="b">
        <v>0</v>
      </c>
      <c r="E49" s="78" t="b">
        <v>0</v>
      </c>
      <c r="F49" s="78" t="b">
        <v>0</v>
      </c>
      <c r="G49" s="78" t="b">
        <v>0</v>
      </c>
      <c r="H49" s="78" t="b">
        <v>0</v>
      </c>
      <c r="I49" s="78" t="b">
        <v>0</v>
      </c>
      <c r="J49" s="78" t="b">
        <v>0</v>
      </c>
      <c r="K49" s="78" t="b">
        <v>0</v>
      </c>
      <c r="L49" s="74">
        <f t="shared" ref="L49:L56" si="2">COUNTIF(C49:K49,TRUE)</f>
        <v>0</v>
      </c>
    </row>
    <row r="50" spans="1:12" x14ac:dyDescent="0.3">
      <c r="A50" t="str">
        <f>IF('EPWP Employees'!A49="","",'EPWP Employees'!A49)</f>
        <v>Keamogetswe Ntshane</v>
      </c>
      <c r="B50" t="str">
        <f>IF('EPWP Employees'!B49="","",'EPWP Employees'!B49)</f>
        <v>9209181281088</v>
      </c>
      <c r="C50" s="78" t="b">
        <v>0</v>
      </c>
      <c r="D50" s="78" t="b">
        <v>0</v>
      </c>
      <c r="E50" s="78" t="b">
        <v>0</v>
      </c>
      <c r="F50" s="78" t="b">
        <v>0</v>
      </c>
      <c r="G50" s="78" t="b">
        <v>0</v>
      </c>
      <c r="H50" s="78" t="b">
        <v>0</v>
      </c>
      <c r="I50" s="78" t="b">
        <v>0</v>
      </c>
      <c r="J50" s="78" t="b">
        <v>0</v>
      </c>
      <c r="K50" s="78" t="b">
        <v>0</v>
      </c>
      <c r="L50" s="74">
        <f t="shared" si="2"/>
        <v>0</v>
      </c>
    </row>
    <row r="51" spans="1:12" x14ac:dyDescent="0.3">
      <c r="A51" t="str">
        <f>IF('EPWP Employees'!A50="","",'EPWP Employees'!A50)</f>
        <v>Rebecca Mashigo</v>
      </c>
      <c r="B51" t="str">
        <f>IF('EPWP Employees'!B50="","",'EPWP Employees'!B50)</f>
        <v>8212160764083</v>
      </c>
      <c r="C51" s="78" t="b">
        <v>0</v>
      </c>
      <c r="D51" s="78" t="b">
        <v>0</v>
      </c>
      <c r="E51" s="78" t="b">
        <v>0</v>
      </c>
      <c r="F51" s="78" t="b">
        <v>0</v>
      </c>
      <c r="G51" s="78" t="b">
        <v>0</v>
      </c>
      <c r="H51" s="78" t="b">
        <v>0</v>
      </c>
      <c r="I51" s="78" t="b">
        <v>0</v>
      </c>
      <c r="J51" s="78" t="b">
        <v>0</v>
      </c>
      <c r="K51" s="78" t="b">
        <v>0</v>
      </c>
      <c r="L51" s="74">
        <f t="shared" si="2"/>
        <v>0</v>
      </c>
    </row>
    <row r="52" spans="1:12" x14ac:dyDescent="0.3">
      <c r="A52" t="str">
        <f>IF('EPWP Employees'!A51="","",'EPWP Employees'!A51)</f>
        <v xml:space="preserve"> Johanna Mthombeni</v>
      </c>
      <c r="B52" t="str">
        <f>IF('EPWP Employees'!B51="","",'EPWP Employees'!B51)</f>
        <v>8108201236083</v>
      </c>
      <c r="C52" s="78" t="b">
        <v>0</v>
      </c>
      <c r="D52" s="78" t="b">
        <v>0</v>
      </c>
      <c r="E52" s="78" t="b">
        <v>0</v>
      </c>
      <c r="F52" s="78" t="b">
        <v>0</v>
      </c>
      <c r="G52" s="78" t="b">
        <v>0</v>
      </c>
      <c r="H52" s="78" t="b">
        <v>0</v>
      </c>
      <c r="I52" s="78" t="b">
        <v>0</v>
      </c>
      <c r="J52" s="78" t="b">
        <v>0</v>
      </c>
      <c r="K52" s="78" t="b">
        <v>0</v>
      </c>
      <c r="L52" s="74">
        <f t="shared" si="2"/>
        <v>0</v>
      </c>
    </row>
    <row r="53" spans="1:12" x14ac:dyDescent="0.3">
      <c r="A53" t="str">
        <f>IF('EPWP Employees'!A52="","",'EPWP Employees'!A52)</f>
        <v>Martha Tshabalala</v>
      </c>
      <c r="B53" t="str">
        <f>IF('EPWP Employees'!B52="","",'EPWP Employees'!B52)</f>
        <v>7201190649084</v>
      </c>
      <c r="C53" s="78" t="b">
        <v>0</v>
      </c>
      <c r="D53" s="78" t="b">
        <v>0</v>
      </c>
      <c r="E53" s="78" t="b">
        <v>0</v>
      </c>
      <c r="F53" s="78" t="b">
        <v>0</v>
      </c>
      <c r="G53" s="78" t="b">
        <v>0</v>
      </c>
      <c r="H53" s="78" t="b">
        <v>0</v>
      </c>
      <c r="I53" s="78" t="b">
        <v>0</v>
      </c>
      <c r="J53" s="78" t="b">
        <v>0</v>
      </c>
      <c r="K53" s="78" t="b">
        <v>0</v>
      </c>
      <c r="L53" s="74">
        <f t="shared" si="2"/>
        <v>0</v>
      </c>
    </row>
    <row r="54" spans="1:12" x14ac:dyDescent="0.3">
      <c r="A54" t="str">
        <f>IF('EPWP Employees'!A53="","",'EPWP Employees'!A53)</f>
        <v>Flora Shongwane</v>
      </c>
      <c r="B54" t="str">
        <f>IF('EPWP Employees'!B53="","",'EPWP Employees'!B53)</f>
        <v>'7311161001080</v>
      </c>
      <c r="C54" s="78" t="b">
        <v>0</v>
      </c>
      <c r="D54" s="78" t="b">
        <v>0</v>
      </c>
      <c r="E54" s="78" t="b">
        <v>0</v>
      </c>
      <c r="F54" s="78" t="b">
        <v>0</v>
      </c>
      <c r="G54" s="78" t="b">
        <v>0</v>
      </c>
      <c r="H54" s="78" t="b">
        <v>0</v>
      </c>
      <c r="I54" s="78" t="b">
        <v>0</v>
      </c>
      <c r="J54" s="78" t="b">
        <v>0</v>
      </c>
      <c r="K54" s="78" t="b">
        <v>0</v>
      </c>
      <c r="L54" s="74">
        <f t="shared" si="2"/>
        <v>0</v>
      </c>
    </row>
    <row r="55" spans="1:12" x14ac:dyDescent="0.3">
      <c r="A55" t="str">
        <f>IF('EPWP Employees'!A54="","",'EPWP Employees'!A54)</f>
        <v>Stella Baloyi</v>
      </c>
      <c r="B55" t="str">
        <f>IF('EPWP Employees'!B54="","",'EPWP Employees'!B54)</f>
        <v>8203060594084</v>
      </c>
      <c r="C55" s="78" t="b">
        <v>0</v>
      </c>
      <c r="D55" s="78" t="b">
        <v>0</v>
      </c>
      <c r="E55" s="78" t="b">
        <v>0</v>
      </c>
      <c r="F55" s="78" t="b">
        <v>0</v>
      </c>
      <c r="G55" s="78" t="b">
        <v>0</v>
      </c>
      <c r="H55" s="78" t="b">
        <v>0</v>
      </c>
      <c r="I55" s="78" t="b">
        <v>0</v>
      </c>
      <c r="J55" s="78" t="b">
        <v>0</v>
      </c>
      <c r="K55" s="78" t="b">
        <v>0</v>
      </c>
      <c r="L55" s="74">
        <f t="shared" si="2"/>
        <v>0</v>
      </c>
    </row>
    <row r="56" spans="1:12" x14ac:dyDescent="0.3">
      <c r="A56" t="str">
        <f>IF('EPWP Employees'!A55="","",'EPWP Employees'!A55)</f>
        <v>Sibongile Mashiloane</v>
      </c>
      <c r="B56" t="str">
        <f>IF('EPWP Employees'!B55="","",'EPWP Employees'!B55)</f>
        <v>8709101729083</v>
      </c>
      <c r="C56" s="78" t="b">
        <v>0</v>
      </c>
      <c r="D56" s="78" t="b">
        <v>0</v>
      </c>
      <c r="E56" s="78" t="b">
        <v>0</v>
      </c>
      <c r="F56" s="78" t="b">
        <v>0</v>
      </c>
      <c r="G56" s="78" t="b">
        <v>0</v>
      </c>
      <c r="H56" s="78" t="b">
        <v>0</v>
      </c>
      <c r="I56" s="78" t="b">
        <v>0</v>
      </c>
      <c r="J56" s="78" t="b">
        <v>0</v>
      </c>
      <c r="K56" s="78" t="b">
        <v>0</v>
      </c>
      <c r="L56" s="74">
        <f t="shared" si="2"/>
        <v>0</v>
      </c>
    </row>
    <row r="57" spans="1:12" x14ac:dyDescent="0.3">
      <c r="A57" s="40"/>
      <c r="B57" s="40"/>
      <c r="C57" s="40"/>
      <c r="D57" s="40"/>
      <c r="E57" s="40"/>
      <c r="F57" s="40"/>
      <c r="J57"/>
      <c r="K57"/>
    </row>
    <row r="58" spans="1:12" x14ac:dyDescent="0.3">
      <c r="A58" s="151"/>
      <c r="B58" s="151"/>
      <c r="C58" s="151"/>
      <c r="D58" s="151"/>
      <c r="E58" s="34"/>
      <c r="F58" s="34"/>
      <c r="H58" s="151"/>
      <c r="I58" s="151"/>
      <c r="J58" s="151"/>
      <c r="K58" s="151"/>
      <c r="L58" s="151"/>
    </row>
    <row r="59" spans="1:12" x14ac:dyDescent="0.3">
      <c r="A59" s="152"/>
      <c r="B59" s="152"/>
      <c r="C59" s="152"/>
      <c r="D59" s="152"/>
      <c r="E59" s="34"/>
      <c r="F59" s="34"/>
      <c r="H59" s="30"/>
      <c r="I59" s="30"/>
      <c r="J59" s="30"/>
      <c r="K59" s="30"/>
      <c r="L59" s="30"/>
    </row>
    <row r="60" spans="1:12" x14ac:dyDescent="0.3">
      <c r="A60" s="153"/>
      <c r="B60" s="153"/>
      <c r="C60" s="153"/>
      <c r="D60" s="153"/>
      <c r="E60" s="30"/>
      <c r="F60" s="30"/>
      <c r="H60" s="30"/>
      <c r="I60" s="30"/>
      <c r="J60" s="30"/>
      <c r="K60" s="30"/>
      <c r="L60" s="30"/>
    </row>
    <row r="61" spans="1:12" x14ac:dyDescent="0.3">
      <c r="A61" s="150" t="s">
        <v>44</v>
      </c>
      <c r="B61" s="150"/>
      <c r="C61" s="150"/>
      <c r="D61" s="150"/>
      <c r="E61" s="41"/>
      <c r="F61" s="41"/>
      <c r="H61" s="30"/>
      <c r="I61" s="30"/>
      <c r="J61" s="30"/>
      <c r="K61" s="30"/>
      <c r="L61" s="30"/>
    </row>
    <row r="62" spans="1:12" x14ac:dyDescent="0.3">
      <c r="A62" s="152"/>
      <c r="B62" s="152"/>
      <c r="C62" s="152"/>
      <c r="D62" s="152"/>
      <c r="E62" s="30"/>
      <c r="F62" s="30"/>
      <c r="H62" s="30"/>
      <c r="I62" s="30"/>
      <c r="J62" s="30"/>
      <c r="K62" s="30"/>
      <c r="L62" s="30"/>
    </row>
    <row r="63" spans="1:12" x14ac:dyDescent="0.3">
      <c r="A63" s="154" t="str">
        <f ca="1">I4</f>
        <v>26 May 2026</v>
      </c>
      <c r="B63" s="154"/>
      <c r="C63" s="154"/>
      <c r="D63" s="154"/>
      <c r="E63" s="60"/>
      <c r="F63" s="60"/>
      <c r="H63" s="86"/>
      <c r="I63" s="86"/>
      <c r="J63" s="86"/>
      <c r="K63" s="86"/>
      <c r="L63" s="86"/>
    </row>
    <row r="64" spans="1:12" ht="25.05" customHeight="1" x14ac:dyDescent="0.3">
      <c r="A64" s="150" t="s">
        <v>0</v>
      </c>
      <c r="B64" s="150"/>
      <c r="C64" s="150"/>
      <c r="D64" s="150"/>
      <c r="E64" s="30"/>
      <c r="F64" s="30"/>
      <c r="H64" s="41"/>
      <c r="I64" s="41"/>
      <c r="J64" s="41"/>
      <c r="K64" s="41"/>
      <c r="L64" s="41"/>
    </row>
  </sheetData>
  <mergeCells count="24">
    <mergeCell ref="A1:F1"/>
    <mergeCell ref="G1:L1"/>
    <mergeCell ref="A3:D3"/>
    <mergeCell ref="I3:L3"/>
    <mergeCell ref="A4:D4"/>
    <mergeCell ref="I4:L4"/>
    <mergeCell ref="A8:D8"/>
    <mergeCell ref="I8:L8"/>
    <mergeCell ref="A5:D5"/>
    <mergeCell ref="I5:L5"/>
    <mergeCell ref="A6:D6"/>
    <mergeCell ref="I6:L6"/>
    <mergeCell ref="A7:D7"/>
    <mergeCell ref="I7:L7"/>
    <mergeCell ref="H58:L58"/>
    <mergeCell ref="A59:D59"/>
    <mergeCell ref="A60:D60"/>
    <mergeCell ref="A61:D61"/>
    <mergeCell ref="A58:D58"/>
    <mergeCell ref="A10:A11"/>
    <mergeCell ref="B10:B11"/>
    <mergeCell ref="A62:D62"/>
    <mergeCell ref="A63:D63"/>
    <mergeCell ref="A64:D64"/>
  </mergeCells>
  <pageMargins left="0.7" right="0.7" top="1.542" bottom="0.75" header="0.3" footer="0.3"/>
  <pageSetup paperSize="9" scale="72" fitToHeight="0" orientation="portrait" r:id="rId1"/>
  <headerFooter>
    <oddHeader>&amp;L&amp;"-,Bold"&amp;22TAX INVOICE&amp;10
&amp;9SITHEMBE TRANSPORTATION AND PROJECTS  &amp;"-,Regular"
VAT No: 4070272101  
285 Erasmus Ave  
Raslouw AH  
Centuiron  
0157  &amp;R&amp;G</oddHeader>
    <oddFooter>&amp;Laccounts@sithembe.co.za&amp;Cwww.sithembe.co.za&amp;R012 880 3155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7AE44-3889-494F-83EF-339450C837A5}">
  <sheetPr>
    <pageSetUpPr fitToPage="1"/>
  </sheetPr>
  <dimension ref="A1:E72"/>
  <sheetViews>
    <sheetView tabSelected="1" view="pageBreakPreview" topLeftCell="A59" zoomScaleNormal="100" zoomScaleSheetLayoutView="100" workbookViewId="0">
      <selection activeCell="A71" sqref="A71"/>
    </sheetView>
  </sheetViews>
  <sheetFormatPr defaultRowHeight="13.8" x14ac:dyDescent="0.25"/>
  <cols>
    <col min="1" max="1" width="29.6640625" style="132" bestFit="1" customWidth="1"/>
    <col min="2" max="2" width="31.33203125" style="132" customWidth="1"/>
    <col min="3" max="3" width="28.21875" style="134" bestFit="1" customWidth="1"/>
    <col min="4" max="4" width="20.109375" style="134" customWidth="1"/>
    <col min="5" max="5" width="9" style="132" customWidth="1"/>
    <col min="6" max="6" width="12.44140625" style="132" bestFit="1" customWidth="1"/>
    <col min="7" max="9" width="10.77734375" style="132" customWidth="1"/>
    <col min="10" max="16384" width="8.88671875" style="132"/>
  </cols>
  <sheetData>
    <row r="1" spans="1:5" ht="22.8" x14ac:dyDescent="0.25">
      <c r="A1" s="166" t="s">
        <v>47</v>
      </c>
      <c r="B1" s="166"/>
      <c r="C1" s="131"/>
      <c r="D1" s="131"/>
      <c r="E1" s="58" t="s">
        <v>67</v>
      </c>
    </row>
    <row r="2" spans="1:5" s="179" customFormat="1" ht="1.95" customHeight="1" x14ac:dyDescent="0.25"/>
    <row r="3" spans="1:5" s="160" customFormat="1" ht="14.4" customHeight="1" x14ac:dyDescent="0.3">
      <c r="A3" s="160" t="s">
        <v>2</v>
      </c>
    </row>
    <row r="4" spans="1:5" s="160" customFormat="1" ht="14.4" customHeight="1" x14ac:dyDescent="0.3">
      <c r="A4" s="160" t="s">
        <v>54</v>
      </c>
    </row>
    <row r="5" spans="1:5" s="160" customFormat="1" ht="14.4" customHeight="1" x14ac:dyDescent="0.3">
      <c r="A5" s="160" t="s">
        <v>55</v>
      </c>
    </row>
    <row r="6" spans="1:5" s="160" customFormat="1" ht="14.4" customHeight="1" x14ac:dyDescent="0.3">
      <c r="A6" s="160" t="s">
        <v>46</v>
      </c>
    </row>
    <row r="7" spans="1:5" s="160" customFormat="1" ht="14.4" customHeight="1" x14ac:dyDescent="0.3">
      <c r="A7" s="160" t="s">
        <v>56</v>
      </c>
    </row>
    <row r="8" spans="1:5" s="157" customFormat="1" ht="14.4" customHeight="1" x14ac:dyDescent="0.3">
      <c r="A8" s="157" t="s">
        <v>63</v>
      </c>
    </row>
    <row r="9" spans="1:5" x14ac:dyDescent="0.25">
      <c r="A9" s="75"/>
      <c r="B9" s="75"/>
      <c r="C9" s="129"/>
      <c r="D9" s="129"/>
      <c r="E9" s="35"/>
    </row>
    <row r="10" spans="1:5" ht="15.6" x14ac:dyDescent="0.3">
      <c r="A10" s="135" t="s">
        <v>64</v>
      </c>
      <c r="B10" s="135" t="s">
        <v>65</v>
      </c>
      <c r="C10" s="136" t="s">
        <v>61</v>
      </c>
      <c r="D10" s="136" t="s">
        <v>66</v>
      </c>
      <c r="E10" s="130"/>
    </row>
    <row r="11" spans="1:5" s="133" customFormat="1" ht="25.05" customHeight="1" x14ac:dyDescent="0.25">
      <c r="A11" s="132" t="s">
        <v>360</v>
      </c>
      <c r="B11" s="132" t="s">
        <v>369</v>
      </c>
      <c r="C11" s="137" t="s">
        <v>31</v>
      </c>
      <c r="D11" s="137" t="s">
        <v>493</v>
      </c>
      <c r="E11" s="138"/>
    </row>
    <row r="12" spans="1:5" s="133" customFormat="1" ht="25.05" customHeight="1" x14ac:dyDescent="0.25">
      <c r="A12" s="132" t="s">
        <v>361</v>
      </c>
      <c r="B12" s="132" t="s">
        <v>370</v>
      </c>
      <c r="C12" s="137" t="s">
        <v>31</v>
      </c>
      <c r="D12" s="137" t="s">
        <v>494</v>
      </c>
      <c r="E12" s="138"/>
    </row>
    <row r="13" spans="1:5" s="133" customFormat="1" ht="25.05" customHeight="1" x14ac:dyDescent="0.25">
      <c r="A13" s="132" t="s">
        <v>362</v>
      </c>
      <c r="B13" s="132" t="s">
        <v>371</v>
      </c>
      <c r="C13" s="137" t="s">
        <v>31</v>
      </c>
      <c r="D13" s="137" t="s">
        <v>494</v>
      </c>
      <c r="E13" s="138"/>
    </row>
    <row r="14" spans="1:5" s="133" customFormat="1" ht="25.05" customHeight="1" x14ac:dyDescent="0.25">
      <c r="A14" s="132" t="s">
        <v>363</v>
      </c>
      <c r="B14" s="132" t="s">
        <v>372</v>
      </c>
      <c r="C14" s="137" t="s">
        <v>31</v>
      </c>
      <c r="D14" s="137" t="s">
        <v>494</v>
      </c>
      <c r="E14" s="138"/>
    </row>
    <row r="15" spans="1:5" s="133" customFormat="1" ht="25.05" customHeight="1" x14ac:dyDescent="0.25">
      <c r="A15" s="132" t="s">
        <v>364</v>
      </c>
      <c r="B15" s="132" t="s">
        <v>373</v>
      </c>
      <c r="C15" s="137" t="s">
        <v>31</v>
      </c>
      <c r="D15" s="137" t="s">
        <v>494</v>
      </c>
      <c r="E15" s="138"/>
    </row>
    <row r="16" spans="1:5" s="133" customFormat="1" ht="25.05" customHeight="1" x14ac:dyDescent="0.25">
      <c r="A16" s="132" t="s">
        <v>365</v>
      </c>
      <c r="B16" s="132" t="s">
        <v>374</v>
      </c>
      <c r="C16" s="137" t="s">
        <v>31</v>
      </c>
      <c r="D16" s="137" t="s">
        <v>494</v>
      </c>
      <c r="E16" s="138"/>
    </row>
    <row r="17" spans="1:5" s="133" customFormat="1" ht="25.05" customHeight="1" x14ac:dyDescent="0.25">
      <c r="A17" s="132" t="s">
        <v>366</v>
      </c>
      <c r="B17" s="132" t="s">
        <v>375</v>
      </c>
      <c r="C17" s="137" t="s">
        <v>31</v>
      </c>
      <c r="D17" s="137" t="s">
        <v>494</v>
      </c>
      <c r="E17" s="138"/>
    </row>
    <row r="18" spans="1:5" s="133" customFormat="1" ht="25.05" customHeight="1" x14ac:dyDescent="0.25">
      <c r="A18" s="132" t="s">
        <v>367</v>
      </c>
      <c r="B18" s="132" t="s">
        <v>376</v>
      </c>
      <c r="C18" s="137" t="s">
        <v>31</v>
      </c>
      <c r="D18" s="137" t="s">
        <v>494</v>
      </c>
      <c r="E18" s="138"/>
    </row>
    <row r="19" spans="1:5" s="133" customFormat="1" ht="25.05" customHeight="1" x14ac:dyDescent="0.25">
      <c r="A19" s="132" t="s">
        <v>368</v>
      </c>
      <c r="B19" s="132" t="s">
        <v>377</v>
      </c>
      <c r="C19" s="137" t="s">
        <v>31</v>
      </c>
      <c r="D19" s="137" t="s">
        <v>494</v>
      </c>
      <c r="E19" s="138"/>
    </row>
    <row r="20" spans="1:5" s="133" customFormat="1" ht="25.05" customHeight="1" x14ac:dyDescent="0.25">
      <c r="A20" s="132" t="s">
        <v>378</v>
      </c>
      <c r="B20" s="132" t="s">
        <v>383</v>
      </c>
      <c r="C20" s="137" t="s">
        <v>388</v>
      </c>
      <c r="D20" s="137" t="s">
        <v>493</v>
      </c>
      <c r="E20" s="138"/>
    </row>
    <row r="21" spans="1:5" s="133" customFormat="1" ht="25.05" customHeight="1" x14ac:dyDescent="0.25">
      <c r="A21" s="132" t="s">
        <v>379</v>
      </c>
      <c r="B21" s="132" t="s">
        <v>384</v>
      </c>
      <c r="C21" s="137" t="s">
        <v>388</v>
      </c>
      <c r="D21" s="137" t="s">
        <v>494</v>
      </c>
      <c r="E21" s="138"/>
    </row>
    <row r="22" spans="1:5" s="133" customFormat="1" ht="25.05" customHeight="1" x14ac:dyDescent="0.25">
      <c r="A22" s="132" t="s">
        <v>380</v>
      </c>
      <c r="B22" s="132" t="s">
        <v>385</v>
      </c>
      <c r="C22" s="137" t="s">
        <v>388</v>
      </c>
      <c r="D22" s="137" t="s">
        <v>494</v>
      </c>
      <c r="E22" s="138"/>
    </row>
    <row r="23" spans="1:5" s="133" customFormat="1" ht="25.05" customHeight="1" x14ac:dyDescent="0.25">
      <c r="A23" s="132" t="s">
        <v>381</v>
      </c>
      <c r="B23" s="132" t="s">
        <v>386</v>
      </c>
      <c r="C23" s="137" t="s">
        <v>388</v>
      </c>
      <c r="D23" s="137" t="s">
        <v>494</v>
      </c>
      <c r="E23" s="138"/>
    </row>
    <row r="24" spans="1:5" s="133" customFormat="1" ht="25.05" customHeight="1" x14ac:dyDescent="0.25">
      <c r="A24" s="132" t="s">
        <v>382</v>
      </c>
      <c r="B24" s="132" t="s">
        <v>387</v>
      </c>
      <c r="C24" s="137" t="s">
        <v>388</v>
      </c>
      <c r="D24" s="137" t="s">
        <v>494</v>
      </c>
      <c r="E24" s="138"/>
    </row>
    <row r="25" spans="1:5" s="133" customFormat="1" ht="25.05" customHeight="1" x14ac:dyDescent="0.25">
      <c r="A25" s="132" t="s">
        <v>390</v>
      </c>
      <c r="B25" s="132" t="s">
        <v>397</v>
      </c>
      <c r="C25" s="137" t="s">
        <v>389</v>
      </c>
      <c r="D25" s="137" t="s">
        <v>493</v>
      </c>
      <c r="E25" s="138"/>
    </row>
    <row r="26" spans="1:5" s="133" customFormat="1" ht="25.05" customHeight="1" x14ac:dyDescent="0.25">
      <c r="A26" s="132" t="s">
        <v>391</v>
      </c>
      <c r="B26" s="132" t="s">
        <v>394</v>
      </c>
      <c r="C26" s="134" t="s">
        <v>398</v>
      </c>
      <c r="D26" s="134" t="s">
        <v>493</v>
      </c>
      <c r="E26" s="138"/>
    </row>
    <row r="27" spans="1:5" s="133" customFormat="1" ht="25.05" customHeight="1" x14ac:dyDescent="0.25">
      <c r="A27" s="132" t="s">
        <v>392</v>
      </c>
      <c r="B27" s="132" t="s">
        <v>395</v>
      </c>
      <c r="C27" s="134" t="s">
        <v>398</v>
      </c>
      <c r="D27" s="134" t="s">
        <v>494</v>
      </c>
      <c r="E27" s="138"/>
    </row>
    <row r="28" spans="1:5" s="133" customFormat="1" ht="25.05" customHeight="1" x14ac:dyDescent="0.25">
      <c r="A28" s="132" t="s">
        <v>393</v>
      </c>
      <c r="B28" s="132" t="s">
        <v>396</v>
      </c>
      <c r="C28" s="134" t="s">
        <v>398</v>
      </c>
      <c r="D28" s="134" t="s">
        <v>494</v>
      </c>
      <c r="E28" s="138"/>
    </row>
    <row r="29" spans="1:5" s="133" customFormat="1" ht="25.05" customHeight="1" x14ac:dyDescent="0.25">
      <c r="A29" s="132" t="s">
        <v>399</v>
      </c>
      <c r="B29" s="132" t="s">
        <v>475</v>
      </c>
      <c r="C29" s="134" t="s">
        <v>28</v>
      </c>
      <c r="D29" s="134" t="s">
        <v>493</v>
      </c>
      <c r="E29" s="138"/>
    </row>
    <row r="30" spans="1:5" s="133" customFormat="1" ht="25.05" customHeight="1" x14ac:dyDescent="0.25">
      <c r="A30" s="132" t="s">
        <v>400</v>
      </c>
      <c r="B30" s="132" t="s">
        <v>476</v>
      </c>
      <c r="C30" s="134" t="s">
        <v>28</v>
      </c>
      <c r="D30" s="134" t="s">
        <v>494</v>
      </c>
      <c r="E30" s="138"/>
    </row>
    <row r="31" spans="1:5" s="133" customFormat="1" ht="25.05" customHeight="1" x14ac:dyDescent="0.25">
      <c r="A31" s="132" t="s">
        <v>401</v>
      </c>
      <c r="B31" s="132" t="s">
        <v>492</v>
      </c>
      <c r="C31" s="134" t="s">
        <v>28</v>
      </c>
      <c r="D31" s="134" t="s">
        <v>494</v>
      </c>
      <c r="E31" s="138"/>
    </row>
    <row r="32" spans="1:5" s="133" customFormat="1" ht="25.05" customHeight="1" x14ac:dyDescent="0.25">
      <c r="A32" s="132" t="s">
        <v>402</v>
      </c>
      <c r="B32" s="132" t="s">
        <v>477</v>
      </c>
      <c r="C32" s="134" t="s">
        <v>28</v>
      </c>
      <c r="D32" s="134" t="s">
        <v>494</v>
      </c>
      <c r="E32" s="138"/>
    </row>
    <row r="33" spans="1:5" s="133" customFormat="1" ht="25.05" customHeight="1" x14ac:dyDescent="0.25">
      <c r="A33" s="132" t="s">
        <v>404</v>
      </c>
      <c r="B33" s="132" t="s">
        <v>410</v>
      </c>
      <c r="C33" s="134" t="s">
        <v>403</v>
      </c>
      <c r="D33" s="134" t="s">
        <v>493</v>
      </c>
      <c r="E33" s="138"/>
    </row>
    <row r="34" spans="1:5" s="133" customFormat="1" ht="25.05" customHeight="1" x14ac:dyDescent="0.25">
      <c r="A34" s="132" t="s">
        <v>405</v>
      </c>
      <c r="B34" s="132" t="s">
        <v>411</v>
      </c>
      <c r="C34" s="134" t="s">
        <v>403</v>
      </c>
      <c r="D34" s="139" t="s">
        <v>494</v>
      </c>
      <c r="E34" s="138"/>
    </row>
    <row r="35" spans="1:5" s="133" customFormat="1" ht="25.05" customHeight="1" x14ac:dyDescent="0.25">
      <c r="A35" s="132" t="s">
        <v>406</v>
      </c>
      <c r="B35" s="132" t="s">
        <v>412</v>
      </c>
      <c r="C35" s="134" t="s">
        <v>403</v>
      </c>
      <c r="D35" s="139" t="s">
        <v>494</v>
      </c>
      <c r="E35" s="138"/>
    </row>
    <row r="36" spans="1:5" s="133" customFormat="1" ht="25.05" customHeight="1" x14ac:dyDescent="0.25">
      <c r="A36" s="132" t="s">
        <v>407</v>
      </c>
      <c r="B36" s="132" t="s">
        <v>413</v>
      </c>
      <c r="C36" s="134" t="s">
        <v>403</v>
      </c>
      <c r="D36" s="139" t="s">
        <v>494</v>
      </c>
      <c r="E36" s="138"/>
    </row>
    <row r="37" spans="1:5" s="133" customFormat="1" ht="25.05" customHeight="1" x14ac:dyDescent="0.25">
      <c r="A37" s="132" t="s">
        <v>408</v>
      </c>
      <c r="B37" s="132" t="s">
        <v>414</v>
      </c>
      <c r="C37" s="134" t="s">
        <v>403</v>
      </c>
      <c r="D37" s="134" t="s">
        <v>494</v>
      </c>
      <c r="E37" s="138"/>
    </row>
    <row r="38" spans="1:5" s="133" customFormat="1" ht="25.05" customHeight="1" x14ac:dyDescent="0.25">
      <c r="A38" s="132" t="s">
        <v>409</v>
      </c>
      <c r="B38" s="132" t="s">
        <v>415</v>
      </c>
      <c r="C38" s="134" t="s">
        <v>403</v>
      </c>
      <c r="D38" s="134" t="s">
        <v>494</v>
      </c>
      <c r="E38" s="138"/>
    </row>
    <row r="39" spans="1:5" s="133" customFormat="1" ht="25.05" customHeight="1" x14ac:dyDescent="0.25">
      <c r="A39" s="132" t="s">
        <v>419</v>
      </c>
      <c r="B39" s="132" t="s">
        <v>417</v>
      </c>
      <c r="C39" s="134" t="s">
        <v>416</v>
      </c>
      <c r="D39" s="134" t="s">
        <v>493</v>
      </c>
      <c r="E39" s="138"/>
    </row>
    <row r="40" spans="1:5" s="133" customFormat="1" ht="25.05" customHeight="1" x14ac:dyDescent="0.25">
      <c r="A40" s="132" t="s">
        <v>420</v>
      </c>
      <c r="B40" s="132" t="s">
        <v>418</v>
      </c>
      <c r="C40" s="134" t="s">
        <v>416</v>
      </c>
      <c r="D40" s="134" t="s">
        <v>494</v>
      </c>
      <c r="E40" s="138"/>
    </row>
    <row r="41" spans="1:5" s="133" customFormat="1" ht="25.05" customHeight="1" x14ac:dyDescent="0.25">
      <c r="A41" s="132" t="s">
        <v>421</v>
      </c>
      <c r="B41" s="132" t="s">
        <v>450</v>
      </c>
      <c r="C41" s="134" t="s">
        <v>30</v>
      </c>
      <c r="D41" s="134" t="s">
        <v>493</v>
      </c>
      <c r="E41" s="138"/>
    </row>
    <row r="42" spans="1:5" s="133" customFormat="1" ht="25.05" customHeight="1" x14ac:dyDescent="0.25">
      <c r="A42" s="132" t="s">
        <v>422</v>
      </c>
      <c r="B42" s="132" t="s">
        <v>451</v>
      </c>
      <c r="C42" s="134" t="s">
        <v>30</v>
      </c>
      <c r="D42" s="134" t="s">
        <v>494</v>
      </c>
      <c r="E42" s="138"/>
    </row>
    <row r="43" spans="1:5" s="133" customFormat="1" ht="25.05" customHeight="1" x14ac:dyDescent="0.25">
      <c r="A43" s="132" t="s">
        <v>423</v>
      </c>
      <c r="B43" s="132" t="s">
        <v>452</v>
      </c>
      <c r="C43" s="134" t="s">
        <v>30</v>
      </c>
      <c r="D43" s="134" t="s">
        <v>494</v>
      </c>
      <c r="E43" s="138"/>
    </row>
    <row r="44" spans="1:5" s="133" customFormat="1" ht="25.05" customHeight="1" x14ac:dyDescent="0.25">
      <c r="A44" s="132" t="s">
        <v>424</v>
      </c>
      <c r="B44" s="132" t="s">
        <v>453</v>
      </c>
      <c r="C44" s="134" t="s">
        <v>30</v>
      </c>
      <c r="D44" s="134" t="s">
        <v>494</v>
      </c>
      <c r="E44" s="138"/>
    </row>
    <row r="45" spans="1:5" s="133" customFormat="1" ht="25.05" customHeight="1" x14ac:dyDescent="0.25">
      <c r="A45" s="132" t="s">
        <v>425</v>
      </c>
      <c r="B45" s="132" t="s">
        <v>454</v>
      </c>
      <c r="C45" s="134" t="s">
        <v>30</v>
      </c>
      <c r="D45" s="134" t="s">
        <v>494</v>
      </c>
      <c r="E45" s="138"/>
    </row>
    <row r="46" spans="1:5" s="133" customFormat="1" ht="25.05" customHeight="1" x14ac:dyDescent="0.25">
      <c r="A46" s="132" t="s">
        <v>426</v>
      </c>
      <c r="B46" s="132" t="s">
        <v>455</v>
      </c>
      <c r="C46" s="134" t="s">
        <v>30</v>
      </c>
      <c r="D46" s="134" t="s">
        <v>494</v>
      </c>
      <c r="E46" s="138"/>
    </row>
    <row r="47" spans="1:5" s="133" customFormat="1" ht="25.05" customHeight="1" x14ac:dyDescent="0.25">
      <c r="A47" s="132" t="s">
        <v>427</v>
      </c>
      <c r="B47" s="132" t="s">
        <v>456</v>
      </c>
      <c r="C47" s="134" t="s">
        <v>30</v>
      </c>
      <c r="D47" s="134" t="s">
        <v>494</v>
      </c>
      <c r="E47" s="138"/>
    </row>
    <row r="48" spans="1:5" s="133" customFormat="1" ht="25.05" customHeight="1" x14ac:dyDescent="0.25">
      <c r="A48" s="132" t="s">
        <v>429</v>
      </c>
      <c r="B48" s="132" t="s">
        <v>440</v>
      </c>
      <c r="C48" s="134" t="s">
        <v>428</v>
      </c>
      <c r="D48" s="134" t="s">
        <v>493</v>
      </c>
      <c r="E48" s="138"/>
    </row>
    <row r="49" spans="1:5" s="133" customFormat="1" ht="25.05" customHeight="1" x14ac:dyDescent="0.25">
      <c r="A49" s="132" t="s">
        <v>430</v>
      </c>
      <c r="B49" s="132" t="s">
        <v>441</v>
      </c>
      <c r="C49" s="134" t="s">
        <v>428</v>
      </c>
      <c r="D49" s="134" t="s">
        <v>494</v>
      </c>
      <c r="E49" s="138"/>
    </row>
    <row r="50" spans="1:5" s="133" customFormat="1" ht="25.05" customHeight="1" x14ac:dyDescent="0.25">
      <c r="A50" s="132" t="s">
        <v>431</v>
      </c>
      <c r="B50" s="132" t="s">
        <v>442</v>
      </c>
      <c r="C50" s="134" t="s">
        <v>428</v>
      </c>
      <c r="D50" s="134" t="s">
        <v>494</v>
      </c>
      <c r="E50" s="138"/>
    </row>
    <row r="51" spans="1:5" s="133" customFormat="1" ht="25.05" customHeight="1" x14ac:dyDescent="0.25">
      <c r="A51" s="132" t="s">
        <v>432</v>
      </c>
      <c r="B51" s="132" t="s">
        <v>443</v>
      </c>
      <c r="C51" s="134" t="s">
        <v>428</v>
      </c>
      <c r="D51" s="134" t="s">
        <v>494</v>
      </c>
      <c r="E51" s="138"/>
    </row>
    <row r="52" spans="1:5" s="133" customFormat="1" ht="25.05" customHeight="1" x14ac:dyDescent="0.25">
      <c r="A52" s="132" t="s">
        <v>433</v>
      </c>
      <c r="B52" s="132" t="s">
        <v>444</v>
      </c>
      <c r="C52" s="134" t="s">
        <v>428</v>
      </c>
      <c r="D52" s="134" t="s">
        <v>494</v>
      </c>
      <c r="E52" s="138"/>
    </row>
    <row r="53" spans="1:5" s="133" customFormat="1" ht="25.05" customHeight="1" x14ac:dyDescent="0.25">
      <c r="A53" s="132" t="s">
        <v>434</v>
      </c>
      <c r="B53" s="132" t="s">
        <v>474</v>
      </c>
      <c r="C53" s="134" t="s">
        <v>428</v>
      </c>
      <c r="D53" s="134" t="s">
        <v>494</v>
      </c>
      <c r="E53" s="138"/>
    </row>
    <row r="54" spans="1:5" s="133" customFormat="1" ht="25.05" customHeight="1" x14ac:dyDescent="0.25">
      <c r="A54" s="132" t="s">
        <v>435</v>
      </c>
      <c r="B54" s="132" t="s">
        <v>445</v>
      </c>
      <c r="C54" s="134" t="s">
        <v>428</v>
      </c>
      <c r="D54" s="134" t="s">
        <v>494</v>
      </c>
      <c r="E54" s="138"/>
    </row>
    <row r="55" spans="1:5" s="133" customFormat="1" ht="25.05" customHeight="1" x14ac:dyDescent="0.25">
      <c r="A55" s="132" t="s">
        <v>436</v>
      </c>
      <c r="B55" s="132" t="s">
        <v>446</v>
      </c>
      <c r="C55" s="134" t="s">
        <v>428</v>
      </c>
      <c r="D55" s="134" t="s">
        <v>494</v>
      </c>
      <c r="E55" s="138"/>
    </row>
    <row r="56" spans="1:5" s="133" customFormat="1" ht="25.05" customHeight="1" x14ac:dyDescent="0.25">
      <c r="A56" s="132" t="s">
        <v>437</v>
      </c>
      <c r="B56" s="132" t="s">
        <v>447</v>
      </c>
      <c r="C56" s="134" t="s">
        <v>428</v>
      </c>
      <c r="D56" s="134" t="s">
        <v>494</v>
      </c>
      <c r="E56" s="138"/>
    </row>
    <row r="57" spans="1:5" s="133" customFormat="1" ht="25.05" customHeight="1" x14ac:dyDescent="0.25">
      <c r="A57" s="132" t="s">
        <v>438</v>
      </c>
      <c r="B57" s="132" t="s">
        <v>448</v>
      </c>
      <c r="C57" s="134" t="s">
        <v>428</v>
      </c>
      <c r="D57" s="134" t="s">
        <v>494</v>
      </c>
      <c r="E57" s="138"/>
    </row>
    <row r="58" spans="1:5" s="133" customFormat="1" ht="25.05" customHeight="1" x14ac:dyDescent="0.25">
      <c r="A58" s="132" t="s">
        <v>439</v>
      </c>
      <c r="B58" s="132" t="s">
        <v>449</v>
      </c>
      <c r="C58" s="134" t="s">
        <v>428</v>
      </c>
      <c r="D58" s="134" t="s">
        <v>494</v>
      </c>
      <c r="E58" s="138"/>
    </row>
    <row r="59" spans="1:5" s="133" customFormat="1" ht="25.05" customHeight="1" x14ac:dyDescent="0.25">
      <c r="A59" s="132" t="s">
        <v>466</v>
      </c>
      <c r="B59" s="132" t="s">
        <v>468</v>
      </c>
      <c r="C59" s="134" t="s">
        <v>457</v>
      </c>
      <c r="D59" s="134" t="s">
        <v>494</v>
      </c>
      <c r="E59" s="138"/>
    </row>
    <row r="60" spans="1:5" s="133" customFormat="1" ht="25.05" customHeight="1" x14ac:dyDescent="0.25">
      <c r="A60" s="132" t="s">
        <v>467</v>
      </c>
      <c r="B60" s="132" t="s">
        <v>469</v>
      </c>
      <c r="C60" s="134" t="s">
        <v>457</v>
      </c>
      <c r="D60" s="134" t="s">
        <v>494</v>
      </c>
      <c r="E60" s="138"/>
    </row>
    <row r="61" spans="1:5" s="133" customFormat="1" ht="25.05" customHeight="1" x14ac:dyDescent="0.25">
      <c r="A61" s="132" t="s">
        <v>460</v>
      </c>
      <c r="B61" s="132" t="s">
        <v>463</v>
      </c>
      <c r="C61" s="134" t="s">
        <v>457</v>
      </c>
      <c r="D61" s="134" t="s">
        <v>493</v>
      </c>
      <c r="E61" s="138"/>
    </row>
    <row r="62" spans="1:5" s="133" customFormat="1" ht="25.05" customHeight="1" x14ac:dyDescent="0.25">
      <c r="A62" s="132" t="s">
        <v>461</v>
      </c>
      <c r="B62" s="132" t="s">
        <v>464</v>
      </c>
      <c r="C62" s="134" t="s">
        <v>458</v>
      </c>
      <c r="D62" s="134" t="s">
        <v>494</v>
      </c>
      <c r="E62" s="138"/>
    </row>
    <row r="63" spans="1:5" s="133" customFormat="1" ht="25.05" customHeight="1" x14ac:dyDescent="0.25">
      <c r="A63" s="132" t="s">
        <v>462</v>
      </c>
      <c r="B63" s="132" t="s">
        <v>465</v>
      </c>
      <c r="C63" s="134" t="s">
        <v>459</v>
      </c>
      <c r="D63" s="134" t="s">
        <v>494</v>
      </c>
      <c r="E63" s="138"/>
    </row>
    <row r="64" spans="1:5" s="133" customFormat="1" ht="25.05" customHeight="1" x14ac:dyDescent="0.25">
      <c r="A64" s="132" t="s">
        <v>485</v>
      </c>
      <c r="B64" s="132" t="s">
        <v>478</v>
      </c>
      <c r="C64" s="134" t="s">
        <v>389</v>
      </c>
      <c r="D64" s="134" t="s">
        <v>493</v>
      </c>
      <c r="E64" s="138"/>
    </row>
    <row r="65" spans="1:5" s="133" customFormat="1" ht="25.05" customHeight="1" x14ac:dyDescent="0.25">
      <c r="A65" s="132" t="s">
        <v>486</v>
      </c>
      <c r="B65" s="132" t="s">
        <v>479</v>
      </c>
      <c r="C65" s="134" t="s">
        <v>403</v>
      </c>
      <c r="D65" s="134" t="s">
        <v>494</v>
      </c>
      <c r="E65" s="138"/>
    </row>
    <row r="66" spans="1:5" s="133" customFormat="1" ht="25.05" customHeight="1" x14ac:dyDescent="0.25">
      <c r="A66" s="132" t="s">
        <v>487</v>
      </c>
      <c r="B66" s="132" t="s">
        <v>480</v>
      </c>
      <c r="C66" s="134" t="s">
        <v>388</v>
      </c>
      <c r="D66" s="134" t="s">
        <v>494</v>
      </c>
      <c r="E66" s="138"/>
    </row>
    <row r="67" spans="1:5" s="133" customFormat="1" ht="25.05" customHeight="1" x14ac:dyDescent="0.25">
      <c r="A67" s="132" t="s">
        <v>488</v>
      </c>
      <c r="B67" s="132" t="s">
        <v>481</v>
      </c>
      <c r="C67" s="134" t="s">
        <v>28</v>
      </c>
      <c r="D67" s="134" t="s">
        <v>494</v>
      </c>
      <c r="E67" s="138"/>
    </row>
    <row r="68" spans="1:5" s="133" customFormat="1" ht="25.05" customHeight="1" x14ac:dyDescent="0.25">
      <c r="A68" s="132" t="s">
        <v>489</v>
      </c>
      <c r="B68" s="132" t="s">
        <v>482</v>
      </c>
      <c r="C68" s="134" t="s">
        <v>388</v>
      </c>
      <c r="D68" s="134" t="s">
        <v>494</v>
      </c>
      <c r="E68" s="138"/>
    </row>
    <row r="69" spans="1:5" s="133" customFormat="1" ht="25.05" customHeight="1" x14ac:dyDescent="0.25">
      <c r="A69" s="132" t="s">
        <v>490</v>
      </c>
      <c r="B69" s="132" t="s">
        <v>483</v>
      </c>
      <c r="C69" s="134" t="s">
        <v>30</v>
      </c>
      <c r="D69" s="134" t="s">
        <v>494</v>
      </c>
      <c r="E69" s="138"/>
    </row>
    <row r="70" spans="1:5" s="133" customFormat="1" ht="25.05" customHeight="1" x14ac:dyDescent="0.25">
      <c r="A70" s="132" t="s">
        <v>563</v>
      </c>
      <c r="B70" s="132"/>
      <c r="C70" s="134"/>
      <c r="D70" s="134" t="s">
        <v>564</v>
      </c>
      <c r="E70" s="138"/>
    </row>
    <row r="71" spans="1:5" s="133" customFormat="1" ht="25.05" customHeight="1" x14ac:dyDescent="0.25">
      <c r="A71" s="132" t="s">
        <v>565</v>
      </c>
      <c r="B71" s="132"/>
      <c r="C71" s="134"/>
      <c r="D71" s="134" t="s">
        <v>564</v>
      </c>
      <c r="E71" s="138"/>
    </row>
    <row r="72" spans="1:5" s="133" customFormat="1" ht="25.05" customHeight="1" x14ac:dyDescent="0.25">
      <c r="A72" s="132" t="s">
        <v>491</v>
      </c>
      <c r="B72" s="132" t="s">
        <v>484</v>
      </c>
      <c r="C72" s="134" t="s">
        <v>28</v>
      </c>
      <c r="D72" s="134" t="s">
        <v>494</v>
      </c>
      <c r="E72" s="138"/>
    </row>
  </sheetData>
  <mergeCells count="8">
    <mergeCell ref="A6:XFD6"/>
    <mergeCell ref="A7:XFD7"/>
    <mergeCell ref="A8:XFD8"/>
    <mergeCell ref="A1:B1"/>
    <mergeCell ref="A2:XFD2"/>
    <mergeCell ref="A3:XFD3"/>
    <mergeCell ref="A4:XFD4"/>
    <mergeCell ref="A5:XFD5"/>
  </mergeCells>
  <phoneticPr fontId="11" type="noConversion"/>
  <pageMargins left="0.7" right="0.7" top="1.542" bottom="0.75" header="0.3" footer="0.3"/>
  <pageSetup paperSize="9" scale="73" fitToHeight="0" orientation="portrait" r:id="rId1"/>
  <headerFooter>
    <oddHeader>&amp;L&amp;"-,Bold"&amp;22TAX INVOICE&amp;10
&amp;9SITHEMBE TRANSPORTATION AND PROJECTS  &amp;"-,Regular"
VAT No: 4070272101  
285 Erasmus Ave  
Raslouw AH  
Centuiron  
0157  &amp;R&amp;G</oddHeader>
    <oddFooter>&amp;Laccounts@sithembe.co.za&amp;Cwww.sithembe.co.za&amp;R012 880 3155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AE07C-D1D5-41A6-8372-57EB0E8E6307}">
  <sheetPr>
    <pageSetUpPr fitToPage="1"/>
  </sheetPr>
  <dimension ref="A1:O183"/>
  <sheetViews>
    <sheetView view="pageBreakPreview" topLeftCell="F62" zoomScale="85" zoomScaleNormal="100" zoomScaleSheetLayoutView="85" workbookViewId="0">
      <selection activeCell="A91" sqref="A91"/>
    </sheetView>
  </sheetViews>
  <sheetFormatPr defaultRowHeight="14.4" x14ac:dyDescent="0.3"/>
  <cols>
    <col min="1" max="1" width="30.33203125" style="99" bestFit="1" customWidth="1"/>
    <col min="2" max="2" width="5.109375" bestFit="1" customWidth="1"/>
    <col min="3" max="3" width="23.33203125" style="99" bestFit="1" customWidth="1"/>
    <col min="4" max="4" width="30.33203125" style="99" bestFit="1" customWidth="1"/>
    <col min="5" max="5" width="5.109375" bestFit="1" customWidth="1"/>
    <col min="6" max="6" width="23.33203125" style="99" bestFit="1" customWidth="1"/>
    <col min="7" max="7" width="30.33203125" style="99" bestFit="1" customWidth="1"/>
    <col min="8" max="8" width="5.109375" bestFit="1" customWidth="1"/>
    <col min="9" max="9" width="23.33203125" style="99" bestFit="1" customWidth="1"/>
    <col min="10" max="10" width="25.21875" style="99" bestFit="1" customWidth="1"/>
    <col min="11" max="11" width="5.109375" bestFit="1" customWidth="1"/>
    <col min="12" max="12" width="23.5546875" style="110" bestFit="1" customWidth="1"/>
    <col min="13" max="13" width="30.33203125" style="110" bestFit="1" customWidth="1"/>
    <col min="14" max="14" width="5.109375" style="72" bestFit="1" customWidth="1"/>
    <col min="15" max="15" width="23.33203125" style="99" bestFit="1" customWidth="1"/>
    <col min="16" max="16" width="12.44140625" bestFit="1" customWidth="1"/>
    <col min="17" max="19" width="10.77734375" customWidth="1"/>
  </cols>
  <sheetData>
    <row r="1" spans="1:15" ht="22.8" x14ac:dyDescent="0.3">
      <c r="A1" s="158" t="s">
        <v>47</v>
      </c>
      <c r="B1" s="158"/>
      <c r="C1" s="158"/>
      <c r="D1" s="158"/>
      <c r="E1" s="158"/>
      <c r="F1" s="158"/>
      <c r="G1" s="158"/>
      <c r="H1" s="158"/>
      <c r="I1" s="158"/>
      <c r="J1" s="100" t="s">
        <v>75</v>
      </c>
      <c r="K1" s="79"/>
      <c r="L1" s="159" t="s">
        <v>72</v>
      </c>
      <c r="M1" s="159"/>
      <c r="N1" s="159"/>
      <c r="O1" s="159"/>
    </row>
    <row r="2" spans="1:15" ht="1.95" customHeight="1" x14ac:dyDescent="0.3">
      <c r="A2" s="94"/>
      <c r="B2" s="10"/>
      <c r="C2" s="94"/>
      <c r="D2" s="94"/>
      <c r="E2" s="10"/>
      <c r="F2" s="94"/>
      <c r="G2" s="94"/>
      <c r="H2" s="10"/>
      <c r="I2" s="94"/>
      <c r="J2" s="94"/>
      <c r="K2" s="10"/>
      <c r="L2" s="104"/>
      <c r="M2" s="104"/>
      <c r="N2" s="67"/>
      <c r="O2" s="94"/>
    </row>
    <row r="3" spans="1:15" x14ac:dyDescent="0.3">
      <c r="A3" s="95" t="s">
        <v>61</v>
      </c>
      <c r="B3" s="90" t="s">
        <v>73</v>
      </c>
      <c r="C3" s="95" t="s">
        <v>71</v>
      </c>
      <c r="D3" s="95" t="s">
        <v>61</v>
      </c>
      <c r="E3" s="90" t="s">
        <v>73</v>
      </c>
      <c r="F3" s="95" t="s">
        <v>71</v>
      </c>
      <c r="G3" s="95" t="s">
        <v>61</v>
      </c>
      <c r="H3" s="90" t="s">
        <v>73</v>
      </c>
      <c r="I3" s="95" t="s">
        <v>71</v>
      </c>
      <c r="J3" s="95" t="s">
        <v>61</v>
      </c>
      <c r="K3" s="90" t="s">
        <v>73</v>
      </c>
      <c r="L3" s="95" t="s">
        <v>71</v>
      </c>
      <c r="M3" s="95" t="s">
        <v>61</v>
      </c>
      <c r="N3" s="90" t="s">
        <v>73</v>
      </c>
      <c r="O3" s="95" t="s">
        <v>71</v>
      </c>
    </row>
    <row r="4" spans="1:15" x14ac:dyDescent="0.3">
      <c r="A4" s="96"/>
      <c r="B4" s="91">
        <v>1</v>
      </c>
      <c r="C4" s="96"/>
      <c r="D4" s="96" t="s">
        <v>304</v>
      </c>
      <c r="E4" s="92">
        <v>61</v>
      </c>
      <c r="F4" s="140" t="s">
        <v>336</v>
      </c>
      <c r="G4" s="140"/>
      <c r="H4" s="92">
        <v>121</v>
      </c>
      <c r="I4" s="140"/>
      <c r="J4" s="140"/>
      <c r="K4" s="92">
        <v>181</v>
      </c>
      <c r="L4" s="140"/>
      <c r="M4" s="140" t="s">
        <v>521</v>
      </c>
      <c r="N4" s="92">
        <v>241</v>
      </c>
      <c r="O4" s="140" t="s">
        <v>528</v>
      </c>
    </row>
    <row r="5" spans="1:15" x14ac:dyDescent="0.3">
      <c r="A5" s="96"/>
      <c r="B5" s="91">
        <v>2</v>
      </c>
      <c r="C5" s="96"/>
      <c r="D5" s="96" t="s">
        <v>304</v>
      </c>
      <c r="E5" s="92">
        <v>62</v>
      </c>
      <c r="F5" s="140" t="s">
        <v>337</v>
      </c>
      <c r="G5" s="140"/>
      <c r="H5" s="92">
        <v>122</v>
      </c>
      <c r="I5" s="140"/>
      <c r="J5" s="101"/>
      <c r="K5" s="92">
        <v>182</v>
      </c>
      <c r="L5" s="141"/>
      <c r="M5" s="101" t="s">
        <v>521</v>
      </c>
      <c r="N5" s="93">
        <v>242</v>
      </c>
      <c r="O5" s="141" t="s">
        <v>529</v>
      </c>
    </row>
    <row r="6" spans="1:15" x14ac:dyDescent="0.3">
      <c r="A6" s="96"/>
      <c r="B6" s="91">
        <v>3</v>
      </c>
      <c r="C6" s="96"/>
      <c r="D6" s="96" t="s">
        <v>304</v>
      </c>
      <c r="E6" s="92">
        <v>63</v>
      </c>
      <c r="F6" s="140" t="s">
        <v>339</v>
      </c>
      <c r="G6" s="140"/>
      <c r="H6" s="92">
        <v>123</v>
      </c>
      <c r="I6" s="140"/>
      <c r="J6" s="140"/>
      <c r="K6" s="92">
        <v>183</v>
      </c>
      <c r="L6" s="140"/>
      <c r="M6" s="140" t="s">
        <v>521</v>
      </c>
      <c r="N6" s="92">
        <v>243</v>
      </c>
      <c r="O6" s="140" t="s">
        <v>531</v>
      </c>
    </row>
    <row r="7" spans="1:15" x14ac:dyDescent="0.3">
      <c r="A7" s="96"/>
      <c r="B7" s="91">
        <v>4</v>
      </c>
      <c r="C7" s="96"/>
      <c r="D7" s="96" t="s">
        <v>304</v>
      </c>
      <c r="E7" s="92">
        <v>64</v>
      </c>
      <c r="F7" s="140" t="s">
        <v>341</v>
      </c>
      <c r="G7" s="140"/>
      <c r="H7" s="92">
        <v>124</v>
      </c>
      <c r="I7" s="140"/>
      <c r="J7" s="140"/>
      <c r="K7" s="92">
        <v>184</v>
      </c>
      <c r="L7" s="140"/>
      <c r="M7" s="140" t="s">
        <v>521</v>
      </c>
      <c r="N7" s="93">
        <v>244</v>
      </c>
      <c r="O7" s="140" t="s">
        <v>532</v>
      </c>
    </row>
    <row r="8" spans="1:15" x14ac:dyDescent="0.3">
      <c r="A8" s="96"/>
      <c r="B8" s="91">
        <v>5</v>
      </c>
      <c r="C8" s="96"/>
      <c r="D8" s="96" t="s">
        <v>304</v>
      </c>
      <c r="E8" s="92">
        <v>65</v>
      </c>
      <c r="F8" s="140" t="s">
        <v>305</v>
      </c>
      <c r="G8" s="140"/>
      <c r="H8" s="92">
        <v>125</v>
      </c>
      <c r="I8" s="140"/>
      <c r="J8" s="140"/>
      <c r="K8" s="92">
        <v>185</v>
      </c>
      <c r="L8" s="140"/>
      <c r="M8" s="140" t="s">
        <v>521</v>
      </c>
      <c r="N8" s="92">
        <v>245</v>
      </c>
      <c r="O8" s="140" t="s">
        <v>533</v>
      </c>
    </row>
    <row r="9" spans="1:15" x14ac:dyDescent="0.3">
      <c r="A9" s="96"/>
      <c r="B9" s="91">
        <v>6</v>
      </c>
      <c r="C9" s="96"/>
      <c r="D9" s="96" t="s">
        <v>304</v>
      </c>
      <c r="E9" s="92">
        <v>66</v>
      </c>
      <c r="F9" s="140" t="s">
        <v>342</v>
      </c>
      <c r="G9" s="140"/>
      <c r="H9" s="92">
        <v>126</v>
      </c>
      <c r="I9" s="140"/>
      <c r="J9" s="140"/>
      <c r="K9" s="92">
        <v>186</v>
      </c>
      <c r="L9" s="140"/>
      <c r="M9" s="140" t="s">
        <v>521</v>
      </c>
      <c r="N9" s="93">
        <v>246</v>
      </c>
      <c r="O9" s="140" t="s">
        <v>533</v>
      </c>
    </row>
    <row r="10" spans="1:15" x14ac:dyDescent="0.3">
      <c r="A10" s="96"/>
      <c r="B10" s="91">
        <v>7</v>
      </c>
      <c r="C10" s="96"/>
      <c r="D10" s="96" t="s">
        <v>304</v>
      </c>
      <c r="E10" s="92">
        <v>67</v>
      </c>
      <c r="F10" s="140" t="s">
        <v>305</v>
      </c>
      <c r="G10" s="140"/>
      <c r="H10" s="92">
        <v>127</v>
      </c>
      <c r="I10" s="140"/>
      <c r="J10" s="140"/>
      <c r="K10" s="92">
        <v>187</v>
      </c>
      <c r="L10" s="140"/>
      <c r="M10" s="140" t="s">
        <v>496</v>
      </c>
      <c r="N10" s="92">
        <v>247</v>
      </c>
      <c r="O10" s="140" t="s">
        <v>518</v>
      </c>
    </row>
    <row r="11" spans="1:15" x14ac:dyDescent="0.3">
      <c r="A11" s="96"/>
      <c r="B11" s="91">
        <v>8</v>
      </c>
      <c r="C11" s="96"/>
      <c r="D11" s="96" t="s">
        <v>304</v>
      </c>
      <c r="E11" s="92">
        <v>68</v>
      </c>
      <c r="F11" s="140" t="s">
        <v>343</v>
      </c>
      <c r="G11" s="140"/>
      <c r="H11" s="92">
        <v>128</v>
      </c>
      <c r="I11" s="140"/>
      <c r="J11" s="101"/>
      <c r="K11" s="92">
        <v>188</v>
      </c>
      <c r="L11" s="141"/>
      <c r="M11" s="101" t="s">
        <v>496</v>
      </c>
      <c r="N11" s="93">
        <v>248</v>
      </c>
      <c r="O11" s="141" t="s">
        <v>509</v>
      </c>
    </row>
    <row r="12" spans="1:15" x14ac:dyDescent="0.3">
      <c r="A12" s="96"/>
      <c r="B12" s="91">
        <v>9</v>
      </c>
      <c r="C12" s="96"/>
      <c r="D12" s="96" t="s">
        <v>304</v>
      </c>
      <c r="E12" s="92">
        <v>69</v>
      </c>
      <c r="F12" s="140" t="s">
        <v>344</v>
      </c>
      <c r="G12" s="140"/>
      <c r="H12" s="92">
        <v>129</v>
      </c>
      <c r="I12" s="140"/>
      <c r="J12" s="140"/>
      <c r="K12" s="92">
        <v>189</v>
      </c>
      <c r="L12" s="140"/>
      <c r="M12" s="140"/>
      <c r="N12" s="92">
        <v>249</v>
      </c>
      <c r="O12" s="140"/>
    </row>
    <row r="13" spans="1:15" x14ac:dyDescent="0.3">
      <c r="A13" s="96"/>
      <c r="B13" s="91">
        <v>10</v>
      </c>
      <c r="C13" s="96"/>
      <c r="D13" s="96" t="s">
        <v>304</v>
      </c>
      <c r="E13" s="92">
        <v>70</v>
      </c>
      <c r="F13" s="140" t="s">
        <v>348</v>
      </c>
      <c r="G13" s="140"/>
      <c r="H13" s="92">
        <v>130</v>
      </c>
      <c r="I13" s="140"/>
      <c r="J13" s="140"/>
      <c r="K13" s="92">
        <v>190</v>
      </c>
      <c r="L13" s="140"/>
      <c r="M13" s="140" t="s">
        <v>496</v>
      </c>
      <c r="N13" s="93">
        <v>250</v>
      </c>
      <c r="O13" s="140" t="s">
        <v>514</v>
      </c>
    </row>
    <row r="14" spans="1:15" x14ac:dyDescent="0.3">
      <c r="A14" s="96"/>
      <c r="B14" s="91">
        <v>11</v>
      </c>
      <c r="C14" s="96"/>
      <c r="D14" s="96" t="s">
        <v>304</v>
      </c>
      <c r="E14" s="92">
        <v>71</v>
      </c>
      <c r="F14" s="140" t="s">
        <v>349</v>
      </c>
      <c r="G14" s="140"/>
      <c r="H14" s="92">
        <v>131</v>
      </c>
      <c r="I14" s="140"/>
      <c r="J14" s="140"/>
      <c r="K14" s="92">
        <v>191</v>
      </c>
      <c r="L14" s="140"/>
      <c r="M14" s="140" t="s">
        <v>496</v>
      </c>
      <c r="N14" s="92">
        <v>251</v>
      </c>
      <c r="O14" s="140" t="s">
        <v>512</v>
      </c>
    </row>
    <row r="15" spans="1:15" x14ac:dyDescent="0.3">
      <c r="A15" s="96"/>
      <c r="B15" s="91">
        <v>12</v>
      </c>
      <c r="C15" s="96"/>
      <c r="D15" s="96" t="s">
        <v>304</v>
      </c>
      <c r="E15" s="92">
        <v>72</v>
      </c>
      <c r="F15" s="140" t="s">
        <v>350</v>
      </c>
      <c r="G15" s="140"/>
      <c r="H15" s="92">
        <v>132</v>
      </c>
      <c r="I15" s="140"/>
      <c r="J15" s="140"/>
      <c r="K15" s="92">
        <v>192</v>
      </c>
      <c r="L15" s="140"/>
      <c r="M15" s="140" t="s">
        <v>496</v>
      </c>
      <c r="N15" s="93">
        <v>252</v>
      </c>
      <c r="O15" s="140" t="s">
        <v>506</v>
      </c>
    </row>
    <row r="16" spans="1:15" x14ac:dyDescent="0.3">
      <c r="A16" s="96"/>
      <c r="B16" s="91">
        <v>13</v>
      </c>
      <c r="C16" s="96"/>
      <c r="D16" s="96" t="s">
        <v>304</v>
      </c>
      <c r="E16" s="92">
        <v>73</v>
      </c>
      <c r="F16" s="140" t="s">
        <v>351</v>
      </c>
      <c r="G16" s="140"/>
      <c r="H16" s="92">
        <v>133</v>
      </c>
      <c r="I16" s="140"/>
      <c r="J16" s="140"/>
      <c r="K16" s="92">
        <v>193</v>
      </c>
      <c r="L16" s="140"/>
      <c r="M16" s="140" t="s">
        <v>496</v>
      </c>
      <c r="N16" s="92">
        <v>253</v>
      </c>
      <c r="O16" s="140" t="s">
        <v>517</v>
      </c>
    </row>
    <row r="17" spans="1:15" x14ac:dyDescent="0.3">
      <c r="A17" s="96"/>
      <c r="B17" s="91">
        <v>14</v>
      </c>
      <c r="C17" s="96"/>
      <c r="D17" s="96" t="s">
        <v>304</v>
      </c>
      <c r="E17" s="92">
        <v>74</v>
      </c>
      <c r="F17" s="140" t="s">
        <v>352</v>
      </c>
      <c r="G17" s="140"/>
      <c r="H17" s="92">
        <v>134</v>
      </c>
      <c r="I17" s="140"/>
      <c r="J17" s="140"/>
      <c r="K17" s="92">
        <v>194</v>
      </c>
      <c r="L17" s="140"/>
      <c r="M17" s="140" t="s">
        <v>496</v>
      </c>
      <c r="N17" s="93">
        <v>254</v>
      </c>
      <c r="O17" s="140" t="s">
        <v>511</v>
      </c>
    </row>
    <row r="18" spans="1:15" x14ac:dyDescent="0.3">
      <c r="A18" s="97" t="s">
        <v>178</v>
      </c>
      <c r="B18" s="91">
        <v>15</v>
      </c>
      <c r="C18" s="96" t="s">
        <v>181</v>
      </c>
      <c r="D18" s="96" t="s">
        <v>304</v>
      </c>
      <c r="E18" s="92">
        <v>75</v>
      </c>
      <c r="F18" s="140" t="s">
        <v>353</v>
      </c>
      <c r="G18" s="140"/>
      <c r="H18" s="92">
        <v>135</v>
      </c>
      <c r="I18" s="140"/>
      <c r="J18" s="140"/>
      <c r="K18" s="92">
        <v>195</v>
      </c>
      <c r="L18" s="140"/>
      <c r="M18" s="140" t="s">
        <v>496</v>
      </c>
      <c r="N18" s="92">
        <v>255</v>
      </c>
      <c r="O18" s="140" t="s">
        <v>505</v>
      </c>
    </row>
    <row r="19" spans="1:15" x14ac:dyDescent="0.3">
      <c r="A19" s="96" t="s">
        <v>178</v>
      </c>
      <c r="B19" s="91">
        <v>16</v>
      </c>
      <c r="C19" s="96" t="s">
        <v>185</v>
      </c>
      <c r="D19" s="96" t="s">
        <v>304</v>
      </c>
      <c r="E19" s="92">
        <v>76</v>
      </c>
      <c r="F19" s="140" t="s">
        <v>305</v>
      </c>
      <c r="G19" s="140"/>
      <c r="H19" s="92">
        <v>136</v>
      </c>
      <c r="I19" s="140"/>
      <c r="J19" s="140"/>
      <c r="K19" s="92">
        <v>196</v>
      </c>
      <c r="L19" s="140"/>
      <c r="M19" s="140" t="s">
        <v>496</v>
      </c>
      <c r="N19" s="93">
        <v>256</v>
      </c>
      <c r="O19" s="140" t="s">
        <v>504</v>
      </c>
    </row>
    <row r="20" spans="1:15" x14ac:dyDescent="0.3">
      <c r="A20" s="96" t="s">
        <v>178</v>
      </c>
      <c r="B20" s="91">
        <v>17</v>
      </c>
      <c r="C20" s="96" t="s">
        <v>186</v>
      </c>
      <c r="D20" s="96" t="s">
        <v>304</v>
      </c>
      <c r="E20" s="92">
        <v>77</v>
      </c>
      <c r="F20" s="140" t="s">
        <v>305</v>
      </c>
      <c r="G20" s="140"/>
      <c r="H20" s="92">
        <v>137</v>
      </c>
      <c r="I20" s="140"/>
      <c r="J20" s="140"/>
      <c r="K20" s="92">
        <v>197</v>
      </c>
      <c r="L20" s="140"/>
      <c r="M20" s="140" t="s">
        <v>496</v>
      </c>
      <c r="N20" s="92">
        <v>257</v>
      </c>
      <c r="O20" s="140" t="s">
        <v>505</v>
      </c>
    </row>
    <row r="21" spans="1:15" x14ac:dyDescent="0.3">
      <c r="A21" s="96" t="s">
        <v>178</v>
      </c>
      <c r="B21" s="91">
        <v>18</v>
      </c>
      <c r="C21" s="96" t="s">
        <v>188</v>
      </c>
      <c r="D21" s="96" t="s">
        <v>304</v>
      </c>
      <c r="E21" s="92">
        <v>78</v>
      </c>
      <c r="F21" s="140" t="s">
        <v>354</v>
      </c>
      <c r="G21" s="140"/>
      <c r="H21" s="92">
        <v>138</v>
      </c>
      <c r="I21" s="140"/>
      <c r="J21" s="140"/>
      <c r="K21" s="92">
        <v>198</v>
      </c>
      <c r="L21" s="140"/>
      <c r="M21" s="140" t="s">
        <v>496</v>
      </c>
      <c r="N21" s="93">
        <v>258</v>
      </c>
      <c r="O21" s="140" t="s">
        <v>504</v>
      </c>
    </row>
    <row r="22" spans="1:15" x14ac:dyDescent="0.3">
      <c r="A22" s="96" t="s">
        <v>178</v>
      </c>
      <c r="B22" s="91">
        <v>19</v>
      </c>
      <c r="C22" s="96" t="s">
        <v>189</v>
      </c>
      <c r="D22" s="96" t="s">
        <v>304</v>
      </c>
      <c r="E22" s="92">
        <v>79</v>
      </c>
      <c r="F22" s="140" t="s">
        <v>305</v>
      </c>
      <c r="G22" s="140"/>
      <c r="H22" s="92">
        <v>139</v>
      </c>
      <c r="I22" s="140"/>
      <c r="J22" s="140"/>
      <c r="K22" s="92">
        <v>199</v>
      </c>
      <c r="L22" s="140"/>
      <c r="M22" s="140"/>
      <c r="N22" s="92">
        <v>259</v>
      </c>
      <c r="O22" s="140"/>
    </row>
    <row r="23" spans="1:15" x14ac:dyDescent="0.3">
      <c r="A23" s="96" t="s">
        <v>146</v>
      </c>
      <c r="B23" s="91">
        <v>20</v>
      </c>
      <c r="C23" s="96" t="s">
        <v>170</v>
      </c>
      <c r="D23" s="96" t="s">
        <v>304</v>
      </c>
      <c r="E23" s="92">
        <v>80</v>
      </c>
      <c r="F23" s="140" t="s">
        <v>357</v>
      </c>
      <c r="G23" s="140"/>
      <c r="H23" s="92">
        <v>140</v>
      </c>
      <c r="I23" s="140"/>
      <c r="J23" s="140"/>
      <c r="K23" s="92">
        <v>200</v>
      </c>
      <c r="L23" s="140"/>
      <c r="M23" s="140"/>
      <c r="N23" s="93">
        <v>260</v>
      </c>
      <c r="O23" s="140"/>
    </row>
    <row r="24" spans="1:15" x14ac:dyDescent="0.3">
      <c r="A24" s="96" t="s">
        <v>146</v>
      </c>
      <c r="B24" s="91">
        <v>21</v>
      </c>
      <c r="C24" s="96" t="s">
        <v>162</v>
      </c>
      <c r="D24" s="96" t="s">
        <v>304</v>
      </c>
      <c r="E24" s="92">
        <v>81</v>
      </c>
      <c r="F24" s="140" t="s">
        <v>359</v>
      </c>
      <c r="G24" s="140"/>
      <c r="H24" s="92">
        <v>141</v>
      </c>
      <c r="I24" s="140"/>
      <c r="J24" s="140" t="s">
        <v>98</v>
      </c>
      <c r="K24" s="92">
        <v>201</v>
      </c>
      <c r="L24" s="140" t="s">
        <v>110</v>
      </c>
      <c r="M24" s="140"/>
      <c r="N24" s="92">
        <v>261</v>
      </c>
      <c r="O24" s="140"/>
    </row>
    <row r="25" spans="1:15" x14ac:dyDescent="0.3">
      <c r="A25" s="96" t="s">
        <v>146</v>
      </c>
      <c r="B25" s="91">
        <v>22</v>
      </c>
      <c r="C25" s="96" t="s">
        <v>161</v>
      </c>
      <c r="D25" s="96" t="s">
        <v>304</v>
      </c>
      <c r="E25" s="92">
        <v>82</v>
      </c>
      <c r="F25" s="140" t="s">
        <v>470</v>
      </c>
      <c r="G25" s="140"/>
      <c r="H25" s="92">
        <v>142</v>
      </c>
      <c r="I25" s="140"/>
      <c r="J25" s="140" t="s">
        <v>98</v>
      </c>
      <c r="K25" s="92">
        <v>202</v>
      </c>
      <c r="L25" s="140" t="s">
        <v>111</v>
      </c>
      <c r="M25" s="140"/>
      <c r="N25" s="93">
        <v>262</v>
      </c>
      <c r="O25" s="140"/>
    </row>
    <row r="26" spans="1:15" x14ac:dyDescent="0.3">
      <c r="A26" s="96" t="s">
        <v>146</v>
      </c>
      <c r="B26" s="91">
        <v>23</v>
      </c>
      <c r="C26" s="96" t="s">
        <v>166</v>
      </c>
      <c r="D26" s="96" t="s">
        <v>304</v>
      </c>
      <c r="E26" s="92">
        <v>83</v>
      </c>
      <c r="F26" s="96" t="s">
        <v>471</v>
      </c>
      <c r="G26" s="96"/>
      <c r="H26" s="92">
        <v>143</v>
      </c>
      <c r="I26" s="96"/>
      <c r="J26" s="102" t="s">
        <v>98</v>
      </c>
      <c r="K26" s="92">
        <v>203</v>
      </c>
      <c r="L26" s="141" t="s">
        <v>118</v>
      </c>
      <c r="M26" s="102"/>
      <c r="N26" s="92">
        <v>263</v>
      </c>
      <c r="O26" s="141"/>
    </row>
    <row r="27" spans="1:15" x14ac:dyDescent="0.3">
      <c r="A27" s="96" t="s">
        <v>146</v>
      </c>
      <c r="B27" s="91">
        <v>24</v>
      </c>
      <c r="C27" s="96" t="s">
        <v>160</v>
      </c>
      <c r="D27" s="96" t="s">
        <v>304</v>
      </c>
      <c r="E27" s="92">
        <v>84</v>
      </c>
      <c r="F27" s="96" t="s">
        <v>473</v>
      </c>
      <c r="G27" s="96"/>
      <c r="H27" s="92">
        <v>144</v>
      </c>
      <c r="I27" s="96"/>
      <c r="J27" s="102" t="s">
        <v>98</v>
      </c>
      <c r="K27" s="92">
        <v>204</v>
      </c>
      <c r="L27" s="141" t="s">
        <v>114</v>
      </c>
      <c r="M27" s="102"/>
      <c r="N27" s="93">
        <v>264</v>
      </c>
      <c r="O27" s="141"/>
    </row>
    <row r="28" spans="1:15" x14ac:dyDescent="0.3">
      <c r="A28" s="96" t="s">
        <v>146</v>
      </c>
      <c r="B28" s="91">
        <v>25</v>
      </c>
      <c r="C28" s="96" t="s">
        <v>177</v>
      </c>
      <c r="D28" s="96" t="s">
        <v>304</v>
      </c>
      <c r="E28" s="92">
        <v>85</v>
      </c>
      <c r="F28" s="96" t="s">
        <v>305</v>
      </c>
      <c r="G28" s="96"/>
      <c r="H28" s="92">
        <v>145</v>
      </c>
      <c r="I28" s="96"/>
      <c r="J28" s="102" t="s">
        <v>98</v>
      </c>
      <c r="K28" s="92">
        <v>205</v>
      </c>
      <c r="L28" s="141" t="s">
        <v>115</v>
      </c>
      <c r="M28" s="102"/>
      <c r="N28" s="92">
        <v>265</v>
      </c>
      <c r="O28" s="141"/>
    </row>
    <row r="29" spans="1:15" x14ac:dyDescent="0.3">
      <c r="A29" s="96" t="s">
        <v>146</v>
      </c>
      <c r="B29" s="91">
        <v>26</v>
      </c>
      <c r="C29" s="96" t="s">
        <v>172</v>
      </c>
      <c r="D29" s="96" t="s">
        <v>304</v>
      </c>
      <c r="E29" s="92">
        <v>86</v>
      </c>
      <c r="F29" s="96" t="s">
        <v>472</v>
      </c>
      <c r="G29" s="96"/>
      <c r="H29" s="92">
        <v>146</v>
      </c>
      <c r="I29" s="96"/>
      <c r="J29" s="102" t="s">
        <v>98</v>
      </c>
      <c r="K29" s="92">
        <v>206</v>
      </c>
      <c r="L29" s="141" t="s">
        <v>115</v>
      </c>
      <c r="M29" s="102"/>
      <c r="N29" s="93">
        <v>266</v>
      </c>
      <c r="O29" s="141"/>
    </row>
    <row r="30" spans="1:15" x14ac:dyDescent="0.3">
      <c r="A30" s="96" t="s">
        <v>146</v>
      </c>
      <c r="B30" s="91">
        <v>27</v>
      </c>
      <c r="C30" s="96" t="s">
        <v>148</v>
      </c>
      <c r="D30" s="96" t="s">
        <v>304</v>
      </c>
      <c r="E30" s="92">
        <v>87</v>
      </c>
      <c r="F30" s="96" t="s">
        <v>355</v>
      </c>
      <c r="G30" s="96"/>
      <c r="H30" s="92">
        <v>147</v>
      </c>
      <c r="I30" s="96"/>
      <c r="J30" s="102" t="s">
        <v>98</v>
      </c>
      <c r="K30" s="92">
        <v>207</v>
      </c>
      <c r="L30" s="141" t="s">
        <v>116</v>
      </c>
      <c r="M30" s="102" t="s">
        <v>496</v>
      </c>
      <c r="N30" s="92">
        <v>267</v>
      </c>
      <c r="O30" s="141" t="s">
        <v>513</v>
      </c>
    </row>
    <row r="31" spans="1:15" x14ac:dyDescent="0.3">
      <c r="A31" s="96" t="s">
        <v>304</v>
      </c>
      <c r="B31" s="91">
        <v>28</v>
      </c>
      <c r="C31" s="96" t="s">
        <v>307</v>
      </c>
      <c r="D31" s="96" t="s">
        <v>304</v>
      </c>
      <c r="E31" s="92">
        <v>88</v>
      </c>
      <c r="F31" s="96" t="s">
        <v>306</v>
      </c>
      <c r="G31" s="96"/>
      <c r="H31" s="92">
        <v>148</v>
      </c>
      <c r="I31" s="96"/>
      <c r="J31" s="102" t="s">
        <v>98</v>
      </c>
      <c r="K31" s="92">
        <v>208</v>
      </c>
      <c r="L31" s="141" t="s">
        <v>124</v>
      </c>
      <c r="M31" s="102"/>
      <c r="N31" s="93">
        <v>268</v>
      </c>
      <c r="O31" s="141"/>
    </row>
    <row r="32" spans="1:15" x14ac:dyDescent="0.3">
      <c r="A32" s="96" t="s">
        <v>304</v>
      </c>
      <c r="B32" s="91">
        <v>29</v>
      </c>
      <c r="C32" s="96" t="s">
        <v>308</v>
      </c>
      <c r="D32" s="96" t="s">
        <v>304</v>
      </c>
      <c r="E32" s="92">
        <v>89</v>
      </c>
      <c r="F32" s="96" t="s">
        <v>305</v>
      </c>
      <c r="G32" s="96"/>
      <c r="H32" s="92">
        <v>149</v>
      </c>
      <c r="I32" s="96"/>
      <c r="J32" s="102" t="s">
        <v>98</v>
      </c>
      <c r="K32" s="92">
        <v>209</v>
      </c>
      <c r="L32" s="141" t="s">
        <v>134</v>
      </c>
      <c r="M32" s="102"/>
      <c r="N32" s="92">
        <v>269</v>
      </c>
      <c r="O32" s="141"/>
    </row>
    <row r="33" spans="1:15" x14ac:dyDescent="0.3">
      <c r="A33" s="96" t="s">
        <v>304</v>
      </c>
      <c r="B33" s="91">
        <v>30</v>
      </c>
      <c r="C33" s="96" t="s">
        <v>310</v>
      </c>
      <c r="D33" s="96" t="s">
        <v>304</v>
      </c>
      <c r="E33" s="92">
        <v>90</v>
      </c>
      <c r="F33" s="96" t="s">
        <v>338</v>
      </c>
      <c r="G33" s="96"/>
      <c r="H33" s="92">
        <v>150</v>
      </c>
      <c r="I33" s="96"/>
      <c r="J33" s="102" t="s">
        <v>98</v>
      </c>
      <c r="K33" s="92">
        <v>210</v>
      </c>
      <c r="L33" s="141" t="s">
        <v>125</v>
      </c>
      <c r="M33" s="102"/>
      <c r="N33" s="93">
        <v>270</v>
      </c>
      <c r="O33" s="141"/>
    </row>
    <row r="34" spans="1:15" x14ac:dyDescent="0.3">
      <c r="A34" s="96" t="s">
        <v>304</v>
      </c>
      <c r="B34" s="91">
        <v>31</v>
      </c>
      <c r="C34" s="96" t="s">
        <v>311</v>
      </c>
      <c r="D34" s="96" t="s">
        <v>304</v>
      </c>
      <c r="E34" s="92">
        <v>91</v>
      </c>
      <c r="F34" s="142" t="s">
        <v>345</v>
      </c>
      <c r="G34" s="142"/>
      <c r="H34" s="92">
        <v>151</v>
      </c>
      <c r="I34" s="142"/>
      <c r="J34" s="102" t="s">
        <v>98</v>
      </c>
      <c r="K34" s="92">
        <v>211</v>
      </c>
      <c r="L34" s="105" t="s">
        <v>124</v>
      </c>
      <c r="M34" s="102" t="s">
        <v>496</v>
      </c>
      <c r="N34" s="92">
        <v>271</v>
      </c>
      <c r="O34" s="105" t="s">
        <v>518</v>
      </c>
    </row>
    <row r="35" spans="1:15" x14ac:dyDescent="0.3">
      <c r="A35" s="96" t="s">
        <v>304</v>
      </c>
      <c r="B35" s="91">
        <v>32</v>
      </c>
      <c r="C35" s="96" t="s">
        <v>311</v>
      </c>
      <c r="D35" s="96" t="s">
        <v>304</v>
      </c>
      <c r="E35" s="92">
        <v>92</v>
      </c>
      <c r="F35" s="142" t="s">
        <v>346</v>
      </c>
      <c r="G35" s="142"/>
      <c r="H35" s="92">
        <v>152</v>
      </c>
      <c r="I35" s="142"/>
      <c r="J35" s="103" t="s">
        <v>98</v>
      </c>
      <c r="K35" s="92">
        <v>212</v>
      </c>
      <c r="L35" s="106" t="s">
        <v>132</v>
      </c>
      <c r="M35" s="143" t="s">
        <v>500</v>
      </c>
      <c r="N35" s="93">
        <v>272</v>
      </c>
      <c r="O35" s="106" t="s">
        <v>501</v>
      </c>
    </row>
    <row r="36" spans="1:15" x14ac:dyDescent="0.3">
      <c r="A36" s="96" t="s">
        <v>304</v>
      </c>
      <c r="B36" s="91">
        <v>33</v>
      </c>
      <c r="C36" s="96" t="s">
        <v>312</v>
      </c>
      <c r="D36" s="96" t="s">
        <v>304</v>
      </c>
      <c r="E36" s="92">
        <v>93</v>
      </c>
      <c r="F36" s="142" t="s">
        <v>358</v>
      </c>
      <c r="G36" s="142"/>
      <c r="H36" s="92">
        <v>153</v>
      </c>
      <c r="I36" s="142"/>
      <c r="J36" s="144" t="s">
        <v>98</v>
      </c>
      <c r="K36" s="92">
        <v>213</v>
      </c>
      <c r="L36" s="107" t="s">
        <v>140</v>
      </c>
      <c r="M36" s="112"/>
      <c r="N36" s="92">
        <v>273</v>
      </c>
      <c r="O36" s="107"/>
    </row>
    <row r="37" spans="1:15" x14ac:dyDescent="0.3">
      <c r="A37" s="96" t="s">
        <v>304</v>
      </c>
      <c r="B37" s="91">
        <v>34</v>
      </c>
      <c r="C37" s="96" t="s">
        <v>313</v>
      </c>
      <c r="D37" s="96" t="s">
        <v>304</v>
      </c>
      <c r="E37" s="92">
        <v>94</v>
      </c>
      <c r="F37" s="96" t="s">
        <v>305</v>
      </c>
      <c r="G37" s="96" t="s">
        <v>190</v>
      </c>
      <c r="H37" s="92">
        <v>154</v>
      </c>
      <c r="I37" s="96" t="s">
        <v>291</v>
      </c>
      <c r="J37" s="96" t="s">
        <v>98</v>
      </c>
      <c r="K37" s="92">
        <v>214</v>
      </c>
      <c r="L37" s="108" t="s">
        <v>100</v>
      </c>
      <c r="M37" s="96" t="s">
        <v>496</v>
      </c>
      <c r="N37" s="93">
        <v>274</v>
      </c>
      <c r="O37" s="108" t="s">
        <v>499</v>
      </c>
    </row>
    <row r="38" spans="1:15" x14ac:dyDescent="0.3">
      <c r="A38" s="96" t="s">
        <v>304</v>
      </c>
      <c r="B38" s="91">
        <v>35</v>
      </c>
      <c r="C38" s="96" t="s">
        <v>314</v>
      </c>
      <c r="D38" s="96" t="s">
        <v>304</v>
      </c>
      <c r="E38" s="92">
        <v>95</v>
      </c>
      <c r="F38" s="96" t="s">
        <v>356</v>
      </c>
      <c r="G38" s="96" t="s">
        <v>190</v>
      </c>
      <c r="H38" s="92">
        <v>155</v>
      </c>
      <c r="I38" s="96" t="s">
        <v>291</v>
      </c>
      <c r="J38" s="96" t="s">
        <v>98</v>
      </c>
      <c r="K38" s="92">
        <v>215</v>
      </c>
      <c r="L38" s="108" t="s">
        <v>101</v>
      </c>
      <c r="M38" s="96" t="s">
        <v>496</v>
      </c>
      <c r="N38" s="92">
        <v>275</v>
      </c>
      <c r="O38" s="108" t="s">
        <v>498</v>
      </c>
    </row>
    <row r="39" spans="1:15" x14ac:dyDescent="0.3">
      <c r="A39" s="96" t="s">
        <v>304</v>
      </c>
      <c r="B39" s="91">
        <v>36</v>
      </c>
      <c r="C39" s="96" t="s">
        <v>314</v>
      </c>
      <c r="D39" s="96" t="s">
        <v>304</v>
      </c>
      <c r="E39" s="92">
        <v>96</v>
      </c>
      <c r="F39" s="96" t="s">
        <v>355</v>
      </c>
      <c r="G39" s="96"/>
      <c r="H39" s="92">
        <v>156</v>
      </c>
      <c r="I39" s="96"/>
      <c r="J39" s="96" t="s">
        <v>98</v>
      </c>
      <c r="K39" s="92">
        <v>216</v>
      </c>
      <c r="L39" s="108" t="s">
        <v>112</v>
      </c>
      <c r="M39" s="96" t="s">
        <v>496</v>
      </c>
      <c r="N39" s="93">
        <v>276</v>
      </c>
      <c r="O39" s="108" t="s">
        <v>502</v>
      </c>
    </row>
    <row r="40" spans="1:15" x14ac:dyDescent="0.3">
      <c r="A40" s="96" t="s">
        <v>304</v>
      </c>
      <c r="B40" s="91">
        <v>37</v>
      </c>
      <c r="C40" s="96" t="s">
        <v>315</v>
      </c>
      <c r="D40" s="96" t="s">
        <v>304</v>
      </c>
      <c r="E40" s="92">
        <v>97</v>
      </c>
      <c r="F40" s="96" t="s">
        <v>305</v>
      </c>
      <c r="G40" s="96"/>
      <c r="H40" s="92">
        <v>157</v>
      </c>
      <c r="I40" s="96"/>
      <c r="J40" s="96" t="s">
        <v>98</v>
      </c>
      <c r="K40" s="92">
        <v>217</v>
      </c>
      <c r="L40" s="108" t="s">
        <v>109</v>
      </c>
      <c r="M40" s="96" t="s">
        <v>496</v>
      </c>
      <c r="N40" s="92">
        <v>277</v>
      </c>
      <c r="O40" s="108"/>
    </row>
    <row r="41" spans="1:15" x14ac:dyDescent="0.3">
      <c r="A41" s="96" t="s">
        <v>304</v>
      </c>
      <c r="B41" s="91">
        <v>38</v>
      </c>
      <c r="C41" s="96" t="s">
        <v>316</v>
      </c>
      <c r="D41" s="96"/>
      <c r="E41" s="92">
        <v>98</v>
      </c>
      <c r="F41" s="96"/>
      <c r="G41" s="96"/>
      <c r="H41" s="92">
        <v>158</v>
      </c>
      <c r="I41" s="96"/>
      <c r="J41" s="96" t="s">
        <v>98</v>
      </c>
      <c r="K41" s="92">
        <v>218</v>
      </c>
      <c r="L41" s="108" t="s">
        <v>145</v>
      </c>
      <c r="M41" s="96" t="s">
        <v>496</v>
      </c>
      <c r="N41" s="93">
        <v>278</v>
      </c>
      <c r="O41" s="108" t="s">
        <v>497</v>
      </c>
    </row>
    <row r="42" spans="1:15" x14ac:dyDescent="0.3">
      <c r="A42" s="96" t="s">
        <v>304</v>
      </c>
      <c r="B42" s="91">
        <v>39</v>
      </c>
      <c r="C42" s="96" t="s">
        <v>316</v>
      </c>
      <c r="D42" s="96"/>
      <c r="E42" s="92">
        <v>99</v>
      </c>
      <c r="F42" s="96"/>
      <c r="G42" s="96"/>
      <c r="H42" s="92">
        <v>159</v>
      </c>
      <c r="I42" s="96"/>
      <c r="J42" s="96" t="s">
        <v>98</v>
      </c>
      <c r="K42" s="92">
        <v>219</v>
      </c>
      <c r="L42" s="108" t="s">
        <v>144</v>
      </c>
      <c r="M42" s="96" t="s">
        <v>496</v>
      </c>
      <c r="N42" s="92">
        <v>279</v>
      </c>
      <c r="O42" s="108" t="s">
        <v>501</v>
      </c>
    </row>
    <row r="43" spans="1:15" x14ac:dyDescent="0.3">
      <c r="A43" s="96" t="s">
        <v>304</v>
      </c>
      <c r="B43" s="91">
        <v>40</v>
      </c>
      <c r="C43" s="96" t="s">
        <v>317</v>
      </c>
      <c r="D43" s="96"/>
      <c r="E43" s="92">
        <v>100</v>
      </c>
      <c r="F43" s="96"/>
      <c r="G43" s="96"/>
      <c r="H43" s="92">
        <v>160</v>
      </c>
      <c r="I43" s="96"/>
      <c r="J43" s="96" t="s">
        <v>98</v>
      </c>
      <c r="K43" s="92">
        <v>220</v>
      </c>
      <c r="L43" s="108" t="s">
        <v>143</v>
      </c>
      <c r="M43" s="96" t="s">
        <v>496</v>
      </c>
      <c r="N43" s="93">
        <v>280</v>
      </c>
      <c r="O43" s="108" t="s">
        <v>507</v>
      </c>
    </row>
    <row r="44" spans="1:15" x14ac:dyDescent="0.3">
      <c r="A44" s="96" t="s">
        <v>304</v>
      </c>
      <c r="B44" s="91">
        <v>41</v>
      </c>
      <c r="C44" s="96" t="s">
        <v>318</v>
      </c>
      <c r="D44" s="96"/>
      <c r="E44" s="92">
        <v>101</v>
      </c>
      <c r="F44" s="96"/>
      <c r="G44" s="96"/>
      <c r="H44" s="92">
        <v>161</v>
      </c>
      <c r="I44" s="96"/>
      <c r="J44" s="96" t="s">
        <v>98</v>
      </c>
      <c r="K44" s="92">
        <v>221</v>
      </c>
      <c r="L44" s="108" t="s">
        <v>113</v>
      </c>
      <c r="M44" s="96"/>
      <c r="N44" s="92">
        <v>281</v>
      </c>
      <c r="O44" s="108"/>
    </row>
    <row r="45" spans="1:15" x14ac:dyDescent="0.3">
      <c r="A45" s="96" t="s">
        <v>304</v>
      </c>
      <c r="B45" s="91">
        <v>42</v>
      </c>
      <c r="C45" s="96" t="s">
        <v>319</v>
      </c>
      <c r="D45" s="96"/>
      <c r="E45" s="92">
        <v>102</v>
      </c>
      <c r="F45" s="96"/>
      <c r="G45" s="96"/>
      <c r="H45" s="92">
        <v>162</v>
      </c>
      <c r="I45" s="96"/>
      <c r="J45" s="96" t="s">
        <v>98</v>
      </c>
      <c r="K45" s="92">
        <v>222</v>
      </c>
      <c r="L45" s="108" t="s">
        <v>117</v>
      </c>
      <c r="M45" s="96" t="s">
        <v>496</v>
      </c>
      <c r="N45" s="93">
        <v>282</v>
      </c>
      <c r="O45" s="108" t="s">
        <v>508</v>
      </c>
    </row>
    <row r="46" spans="1:15" x14ac:dyDescent="0.3">
      <c r="A46" s="96" t="s">
        <v>304</v>
      </c>
      <c r="B46" s="91">
        <v>43</v>
      </c>
      <c r="C46" s="96" t="s">
        <v>321</v>
      </c>
      <c r="D46" s="96"/>
      <c r="E46" s="92">
        <v>103</v>
      </c>
      <c r="F46" s="96"/>
      <c r="G46" s="96"/>
      <c r="H46" s="92">
        <v>163</v>
      </c>
      <c r="I46" s="96"/>
      <c r="J46" s="96" t="s">
        <v>98</v>
      </c>
      <c r="K46" s="92">
        <v>223</v>
      </c>
      <c r="L46" s="108" t="s">
        <v>119</v>
      </c>
      <c r="M46" s="96"/>
      <c r="N46" s="92">
        <v>283</v>
      </c>
      <c r="O46" s="108"/>
    </row>
    <row r="47" spans="1:15" x14ac:dyDescent="0.3">
      <c r="A47" s="96" t="s">
        <v>304</v>
      </c>
      <c r="B47" s="91">
        <v>44</v>
      </c>
      <c r="C47" s="96" t="s">
        <v>322</v>
      </c>
      <c r="D47" s="96"/>
      <c r="E47" s="92">
        <v>104</v>
      </c>
      <c r="F47" s="96"/>
      <c r="G47" s="96"/>
      <c r="H47" s="92">
        <v>164</v>
      </c>
      <c r="I47" s="96"/>
      <c r="J47" s="96" t="s">
        <v>98</v>
      </c>
      <c r="K47" s="92">
        <v>224</v>
      </c>
      <c r="L47" s="108" t="s">
        <v>123</v>
      </c>
      <c r="M47" s="96"/>
      <c r="N47" s="93">
        <v>284</v>
      </c>
      <c r="O47" s="108"/>
    </row>
    <row r="48" spans="1:15" x14ac:dyDescent="0.3">
      <c r="A48" s="96" t="s">
        <v>304</v>
      </c>
      <c r="B48" s="91">
        <v>45</v>
      </c>
      <c r="C48" s="96" t="s">
        <v>323</v>
      </c>
      <c r="D48" s="96"/>
      <c r="E48" s="92">
        <v>105</v>
      </c>
      <c r="F48" s="96"/>
      <c r="G48" s="97" t="s">
        <v>190</v>
      </c>
      <c r="H48" s="92">
        <v>165</v>
      </c>
      <c r="I48" s="96" t="s">
        <v>287</v>
      </c>
      <c r="J48" s="96" t="s">
        <v>98</v>
      </c>
      <c r="K48" s="92">
        <v>225</v>
      </c>
      <c r="L48" s="108" t="s">
        <v>99</v>
      </c>
      <c r="M48" s="96"/>
      <c r="N48" s="92">
        <v>285</v>
      </c>
      <c r="O48" s="108"/>
    </row>
    <row r="49" spans="1:15" x14ac:dyDescent="0.3">
      <c r="A49" s="96" t="s">
        <v>304</v>
      </c>
      <c r="B49" s="91">
        <v>46</v>
      </c>
      <c r="C49" s="96" t="s">
        <v>324</v>
      </c>
      <c r="D49" s="96" t="s">
        <v>98</v>
      </c>
      <c r="E49" s="92">
        <v>106</v>
      </c>
      <c r="F49" s="96" t="s">
        <v>140</v>
      </c>
      <c r="G49" s="96" t="s">
        <v>190</v>
      </c>
      <c r="H49" s="92">
        <v>166</v>
      </c>
      <c r="I49" s="96" t="s">
        <v>290</v>
      </c>
      <c r="J49" s="96" t="s">
        <v>98</v>
      </c>
      <c r="K49" s="92">
        <v>226</v>
      </c>
      <c r="L49" s="108" t="s">
        <v>102</v>
      </c>
      <c r="M49" s="96"/>
      <c r="N49" s="93">
        <v>286</v>
      </c>
      <c r="O49" s="108"/>
    </row>
    <row r="50" spans="1:15" x14ac:dyDescent="0.3">
      <c r="A50" s="96" t="s">
        <v>304</v>
      </c>
      <c r="B50" s="91">
        <v>47</v>
      </c>
      <c r="C50" s="96" t="s">
        <v>325</v>
      </c>
      <c r="D50" s="96"/>
      <c r="E50" s="92">
        <v>107</v>
      </c>
      <c r="F50" s="96"/>
      <c r="G50" s="97" t="s">
        <v>190</v>
      </c>
      <c r="H50" s="92">
        <v>167</v>
      </c>
      <c r="I50" s="96" t="s">
        <v>289</v>
      </c>
      <c r="J50" s="96"/>
      <c r="K50" s="92">
        <v>227</v>
      </c>
      <c r="L50" s="108"/>
      <c r="M50" s="96"/>
      <c r="N50" s="92">
        <v>287</v>
      </c>
      <c r="O50" s="108"/>
    </row>
    <row r="51" spans="1:15" x14ac:dyDescent="0.3">
      <c r="A51" s="96" t="s">
        <v>304</v>
      </c>
      <c r="B51" s="91">
        <v>48</v>
      </c>
      <c r="C51" s="96" t="s">
        <v>326</v>
      </c>
      <c r="D51" s="96"/>
      <c r="E51" s="92">
        <v>108</v>
      </c>
      <c r="F51" s="96"/>
      <c r="G51" s="97" t="s">
        <v>190</v>
      </c>
      <c r="H51" s="92">
        <v>168</v>
      </c>
      <c r="I51" s="96" t="s">
        <v>288</v>
      </c>
      <c r="J51" s="96" t="s">
        <v>98</v>
      </c>
      <c r="K51" s="92">
        <v>228</v>
      </c>
      <c r="L51" s="108" t="s">
        <v>103</v>
      </c>
      <c r="M51" s="96"/>
      <c r="N51" s="93">
        <v>288</v>
      </c>
      <c r="O51" s="108"/>
    </row>
    <row r="52" spans="1:15" x14ac:dyDescent="0.3">
      <c r="A52" s="96" t="s">
        <v>304</v>
      </c>
      <c r="B52" s="91">
        <v>49</v>
      </c>
      <c r="C52" s="96" t="s">
        <v>327</v>
      </c>
      <c r="D52" s="96"/>
      <c r="E52" s="92">
        <v>109</v>
      </c>
      <c r="F52" s="96"/>
      <c r="G52" s="96"/>
      <c r="H52" s="92">
        <v>169</v>
      </c>
      <c r="I52" s="96"/>
      <c r="J52" s="96" t="s">
        <v>98</v>
      </c>
      <c r="K52" s="92">
        <v>229</v>
      </c>
      <c r="L52" s="108" t="s">
        <v>103</v>
      </c>
      <c r="M52" s="96"/>
      <c r="N52" s="92">
        <v>289</v>
      </c>
      <c r="O52" s="108"/>
    </row>
    <row r="53" spans="1:15" x14ac:dyDescent="0.3">
      <c r="A53" s="96" t="s">
        <v>304</v>
      </c>
      <c r="B53" s="91">
        <v>50</v>
      </c>
      <c r="C53" s="96" t="s">
        <v>328</v>
      </c>
      <c r="D53" s="96" t="s">
        <v>98</v>
      </c>
      <c r="E53" s="92">
        <v>110</v>
      </c>
      <c r="F53" s="96" t="s">
        <v>129</v>
      </c>
      <c r="G53" s="96"/>
      <c r="H53" s="92">
        <v>170</v>
      </c>
      <c r="I53" s="96"/>
      <c r="J53" s="96" t="s">
        <v>98</v>
      </c>
      <c r="K53" s="92">
        <v>230</v>
      </c>
      <c r="L53" s="108" t="s">
        <v>108</v>
      </c>
      <c r="M53" s="96"/>
      <c r="N53" s="93">
        <v>290</v>
      </c>
      <c r="O53" s="108"/>
    </row>
    <row r="54" spans="1:15" x14ac:dyDescent="0.3">
      <c r="A54" s="96" t="s">
        <v>304</v>
      </c>
      <c r="B54" s="91">
        <v>51</v>
      </c>
      <c r="C54" s="96" t="s">
        <v>320</v>
      </c>
      <c r="D54" s="96" t="s">
        <v>98</v>
      </c>
      <c r="E54" s="92">
        <v>111</v>
      </c>
      <c r="F54" s="96" t="s">
        <v>122</v>
      </c>
      <c r="G54" s="96"/>
      <c r="H54" s="92">
        <v>171</v>
      </c>
      <c r="I54" s="96"/>
      <c r="J54" s="96" t="s">
        <v>98</v>
      </c>
      <c r="K54" s="92">
        <v>231</v>
      </c>
      <c r="L54" s="108" t="s">
        <v>105</v>
      </c>
      <c r="M54" s="96"/>
      <c r="N54" s="92">
        <v>291</v>
      </c>
      <c r="O54" s="108"/>
    </row>
    <row r="55" spans="1:15" x14ac:dyDescent="0.3">
      <c r="A55" s="96" t="s">
        <v>304</v>
      </c>
      <c r="B55" s="91">
        <v>52</v>
      </c>
      <c r="C55" s="96" t="s">
        <v>329</v>
      </c>
      <c r="D55" s="96" t="s">
        <v>98</v>
      </c>
      <c r="E55" s="92">
        <v>112</v>
      </c>
      <c r="F55" s="96" t="s">
        <v>131</v>
      </c>
      <c r="G55" s="96"/>
      <c r="H55" s="92">
        <v>172</v>
      </c>
      <c r="I55" s="96"/>
      <c r="J55" s="96" t="s">
        <v>98</v>
      </c>
      <c r="K55" s="92">
        <v>232</v>
      </c>
      <c r="L55" s="108" t="s">
        <v>104</v>
      </c>
      <c r="M55" s="96"/>
      <c r="N55" s="93">
        <v>292</v>
      </c>
      <c r="O55" s="108"/>
    </row>
    <row r="56" spans="1:15" x14ac:dyDescent="0.3">
      <c r="A56" s="96" t="s">
        <v>304</v>
      </c>
      <c r="B56" s="91">
        <v>53</v>
      </c>
      <c r="C56" s="96" t="s">
        <v>330</v>
      </c>
      <c r="D56" s="96"/>
      <c r="E56" s="92">
        <v>113</v>
      </c>
      <c r="F56" s="96"/>
      <c r="G56" s="96" t="s">
        <v>190</v>
      </c>
      <c r="H56" s="92">
        <v>173</v>
      </c>
      <c r="I56" s="96" t="s">
        <v>292</v>
      </c>
      <c r="J56" s="96" t="s">
        <v>98</v>
      </c>
      <c r="K56" s="92">
        <v>233</v>
      </c>
      <c r="L56" s="108" t="s">
        <v>106</v>
      </c>
      <c r="M56" s="96"/>
      <c r="N56" s="92">
        <v>293</v>
      </c>
      <c r="O56" s="108"/>
    </row>
    <row r="57" spans="1:15" x14ac:dyDescent="0.3">
      <c r="A57" s="96" t="s">
        <v>304</v>
      </c>
      <c r="B57" s="91">
        <v>54</v>
      </c>
      <c r="C57" s="96" t="s">
        <v>330</v>
      </c>
      <c r="D57" s="96" t="s">
        <v>98</v>
      </c>
      <c r="E57" s="92">
        <v>114</v>
      </c>
      <c r="F57" s="96" t="s">
        <v>136</v>
      </c>
      <c r="G57" s="96"/>
      <c r="H57" s="92">
        <v>174</v>
      </c>
      <c r="I57" s="96"/>
      <c r="J57" s="96" t="s">
        <v>98</v>
      </c>
      <c r="K57" s="92">
        <v>234</v>
      </c>
      <c r="L57" s="108" t="s">
        <v>107</v>
      </c>
      <c r="M57" s="96"/>
      <c r="N57" s="93">
        <v>294</v>
      </c>
      <c r="O57" s="108"/>
    </row>
    <row r="58" spans="1:15" x14ac:dyDescent="0.3">
      <c r="A58" s="96" t="s">
        <v>304</v>
      </c>
      <c r="B58" s="91">
        <v>55</v>
      </c>
      <c r="C58" s="96" t="s">
        <v>331</v>
      </c>
      <c r="D58" s="96" t="s">
        <v>98</v>
      </c>
      <c r="E58" s="92">
        <v>115</v>
      </c>
      <c r="F58" s="96" t="s">
        <v>137</v>
      </c>
      <c r="G58" s="96"/>
      <c r="H58" s="92">
        <v>175</v>
      </c>
      <c r="I58" s="96"/>
      <c r="J58" s="96" t="s">
        <v>521</v>
      </c>
      <c r="K58" s="92">
        <v>235</v>
      </c>
      <c r="L58" s="108" t="s">
        <v>530</v>
      </c>
      <c r="M58" s="96" t="s">
        <v>496</v>
      </c>
      <c r="N58" s="92">
        <v>295</v>
      </c>
      <c r="O58" s="108" t="s">
        <v>501</v>
      </c>
    </row>
    <row r="59" spans="1:15" x14ac:dyDescent="0.3">
      <c r="A59" s="96" t="s">
        <v>304</v>
      </c>
      <c r="B59" s="91">
        <v>56</v>
      </c>
      <c r="C59" s="96" t="s">
        <v>332</v>
      </c>
      <c r="D59" s="96" t="s">
        <v>98</v>
      </c>
      <c r="E59" s="92">
        <v>116</v>
      </c>
      <c r="F59" s="96" t="s">
        <v>138</v>
      </c>
      <c r="G59" s="96"/>
      <c r="H59" s="92">
        <v>176</v>
      </c>
      <c r="I59" s="96"/>
      <c r="J59" s="96" t="s">
        <v>521</v>
      </c>
      <c r="K59" s="92">
        <v>236</v>
      </c>
      <c r="L59" s="108" t="s">
        <v>523</v>
      </c>
      <c r="M59" s="96" t="s">
        <v>496</v>
      </c>
      <c r="N59" s="93">
        <v>296</v>
      </c>
      <c r="O59" s="108" t="s">
        <v>502</v>
      </c>
    </row>
    <row r="60" spans="1:15" x14ac:dyDescent="0.3">
      <c r="A60" s="96" t="s">
        <v>304</v>
      </c>
      <c r="B60" s="91">
        <v>57</v>
      </c>
      <c r="C60" s="96" t="s">
        <v>333</v>
      </c>
      <c r="D60" s="96" t="s">
        <v>98</v>
      </c>
      <c r="E60" s="92">
        <v>117</v>
      </c>
      <c r="F60" s="96" t="s">
        <v>139</v>
      </c>
      <c r="G60" s="96"/>
      <c r="H60" s="92">
        <v>177</v>
      </c>
      <c r="I60" s="96"/>
      <c r="J60" s="96" t="s">
        <v>521</v>
      </c>
      <c r="K60" s="92">
        <v>237</v>
      </c>
      <c r="L60" s="108" t="s">
        <v>524</v>
      </c>
      <c r="M60" s="96" t="s">
        <v>496</v>
      </c>
      <c r="N60" s="92">
        <v>297</v>
      </c>
      <c r="O60" s="108" t="s">
        <v>503</v>
      </c>
    </row>
    <row r="61" spans="1:15" x14ac:dyDescent="0.3">
      <c r="A61" s="96" t="s">
        <v>304</v>
      </c>
      <c r="B61" s="91">
        <v>58</v>
      </c>
      <c r="C61" s="96" t="s">
        <v>334</v>
      </c>
      <c r="D61" s="96" t="s">
        <v>98</v>
      </c>
      <c r="E61" s="92">
        <v>118</v>
      </c>
      <c r="F61" s="96" t="s">
        <v>130</v>
      </c>
      <c r="G61" s="96"/>
      <c r="H61" s="92">
        <v>178</v>
      </c>
      <c r="I61" s="96"/>
      <c r="J61" s="96" t="s">
        <v>521</v>
      </c>
      <c r="K61" s="92">
        <v>238</v>
      </c>
      <c r="L61" s="108" t="s">
        <v>523</v>
      </c>
      <c r="M61" s="96" t="s">
        <v>496</v>
      </c>
      <c r="N61" s="93">
        <v>298</v>
      </c>
      <c r="O61" s="108" t="s">
        <v>517</v>
      </c>
    </row>
    <row r="62" spans="1:15" x14ac:dyDescent="0.3">
      <c r="A62" s="96" t="s">
        <v>304</v>
      </c>
      <c r="B62" s="91">
        <v>59</v>
      </c>
      <c r="C62" s="97" t="s">
        <v>335</v>
      </c>
      <c r="D62" s="97" t="s">
        <v>98</v>
      </c>
      <c r="E62" s="92">
        <v>119</v>
      </c>
      <c r="F62" s="97" t="s">
        <v>141</v>
      </c>
      <c r="G62" s="97"/>
      <c r="H62" s="92">
        <v>179</v>
      </c>
      <c r="I62" s="97"/>
      <c r="J62" s="97" t="s">
        <v>521</v>
      </c>
      <c r="K62" s="92">
        <v>239</v>
      </c>
      <c r="L62" s="109" t="s">
        <v>526</v>
      </c>
      <c r="M62" s="97" t="s">
        <v>496</v>
      </c>
      <c r="N62" s="92">
        <v>299</v>
      </c>
      <c r="O62" s="109" t="s">
        <v>510</v>
      </c>
    </row>
    <row r="63" spans="1:15" x14ac:dyDescent="0.3">
      <c r="A63" s="96" t="s">
        <v>304</v>
      </c>
      <c r="B63" s="91">
        <v>60</v>
      </c>
      <c r="C63" s="97" t="s">
        <v>336</v>
      </c>
      <c r="D63" s="97" t="s">
        <v>98</v>
      </c>
      <c r="E63" s="92">
        <v>120</v>
      </c>
      <c r="F63" s="97" t="s">
        <v>142</v>
      </c>
      <c r="G63" s="97"/>
      <c r="H63" s="92">
        <v>180</v>
      </c>
      <c r="I63" s="97"/>
      <c r="J63" s="97" t="s">
        <v>521</v>
      </c>
      <c r="K63" s="92">
        <v>240</v>
      </c>
      <c r="L63" s="109" t="s">
        <v>527</v>
      </c>
      <c r="M63" s="97" t="s">
        <v>496</v>
      </c>
      <c r="N63" s="93">
        <v>300</v>
      </c>
      <c r="O63" s="109" t="s">
        <v>517</v>
      </c>
    </row>
    <row r="64" spans="1:15" x14ac:dyDescent="0.3">
      <c r="A64" s="98"/>
      <c r="B64" s="87"/>
      <c r="E64" s="88"/>
      <c r="H64" s="88"/>
      <c r="K64" s="88"/>
      <c r="M64" s="99"/>
      <c r="N64" s="88"/>
      <c r="O64" s="110"/>
    </row>
    <row r="65" spans="1:15" ht="22.8" x14ac:dyDescent="0.3">
      <c r="A65" s="166" t="s">
        <v>47</v>
      </c>
      <c r="B65" s="166"/>
      <c r="C65" s="166"/>
      <c r="D65" s="166"/>
      <c r="E65" s="166"/>
      <c r="F65" s="166"/>
      <c r="G65" s="166"/>
      <c r="H65" s="166"/>
      <c r="I65" s="166"/>
      <c r="J65" s="100" t="s">
        <v>76</v>
      </c>
      <c r="K65" s="79"/>
      <c r="L65" s="159" t="s">
        <v>72</v>
      </c>
      <c r="M65" s="159"/>
      <c r="N65" s="159"/>
      <c r="O65" s="159"/>
    </row>
    <row r="66" spans="1:15" ht="1.95" customHeight="1" x14ac:dyDescent="0.3">
      <c r="A66" s="94"/>
      <c r="B66" s="10"/>
      <c r="C66" s="94"/>
      <c r="D66" s="94"/>
      <c r="E66" s="10"/>
      <c r="F66" s="94"/>
      <c r="G66" s="94"/>
      <c r="H66" s="10"/>
      <c r="I66" s="94"/>
      <c r="J66" s="94"/>
      <c r="K66" s="10"/>
      <c r="L66" s="104"/>
      <c r="M66" s="104"/>
      <c r="N66" s="67"/>
      <c r="O66" s="94"/>
    </row>
    <row r="67" spans="1:15" x14ac:dyDescent="0.3">
      <c r="A67" s="95" t="s">
        <v>61</v>
      </c>
      <c r="B67" s="90" t="s">
        <v>73</v>
      </c>
      <c r="C67" s="95" t="s">
        <v>71</v>
      </c>
      <c r="D67" s="95" t="s">
        <v>61</v>
      </c>
      <c r="E67" s="90" t="s">
        <v>73</v>
      </c>
      <c r="F67" s="95" t="s">
        <v>71</v>
      </c>
      <c r="G67" s="95" t="s">
        <v>61</v>
      </c>
      <c r="H67" s="90" t="s">
        <v>73</v>
      </c>
      <c r="I67" s="95" t="s">
        <v>71</v>
      </c>
      <c r="J67" s="95" t="s">
        <v>61</v>
      </c>
      <c r="K67" s="90" t="s">
        <v>73</v>
      </c>
      <c r="L67" s="95" t="s">
        <v>71</v>
      </c>
      <c r="M67" s="95" t="s">
        <v>61</v>
      </c>
      <c r="N67" s="90" t="s">
        <v>73</v>
      </c>
      <c r="O67" s="95" t="s">
        <v>71</v>
      </c>
    </row>
    <row r="68" spans="1:15" x14ac:dyDescent="0.3">
      <c r="A68" s="96"/>
      <c r="B68" s="91">
        <v>301</v>
      </c>
      <c r="C68" s="97"/>
      <c r="D68" s="97"/>
      <c r="E68" s="92">
        <v>361</v>
      </c>
      <c r="F68" s="97"/>
      <c r="G68" s="97" t="s">
        <v>190</v>
      </c>
      <c r="H68" s="92">
        <v>421</v>
      </c>
      <c r="I68" s="97" t="s">
        <v>236</v>
      </c>
      <c r="J68" s="97" t="s">
        <v>293</v>
      </c>
      <c r="K68" s="92">
        <v>481</v>
      </c>
      <c r="L68" s="109" t="s">
        <v>295</v>
      </c>
      <c r="M68" s="97" t="s">
        <v>190</v>
      </c>
      <c r="N68" s="93">
        <v>541</v>
      </c>
      <c r="O68" s="109" t="s">
        <v>267</v>
      </c>
    </row>
    <row r="69" spans="1:15" x14ac:dyDescent="0.3">
      <c r="A69" s="97" t="s">
        <v>496</v>
      </c>
      <c r="B69" s="91">
        <v>302</v>
      </c>
      <c r="C69" s="97" t="s">
        <v>519</v>
      </c>
      <c r="D69" s="97" t="s">
        <v>190</v>
      </c>
      <c r="E69" s="92">
        <v>362</v>
      </c>
      <c r="F69" s="97" t="s">
        <v>200</v>
      </c>
      <c r="G69" s="97" t="s">
        <v>190</v>
      </c>
      <c r="H69" s="92">
        <v>422</v>
      </c>
      <c r="I69" s="97" t="s">
        <v>222</v>
      </c>
      <c r="J69" s="97" t="s">
        <v>293</v>
      </c>
      <c r="K69" s="92">
        <v>482</v>
      </c>
      <c r="L69" s="109" t="s">
        <v>294</v>
      </c>
      <c r="M69" s="97" t="s">
        <v>190</v>
      </c>
      <c r="N69" s="92">
        <v>542</v>
      </c>
      <c r="O69" s="109" t="s">
        <v>266</v>
      </c>
    </row>
    <row r="70" spans="1:15" x14ac:dyDescent="0.3">
      <c r="A70" s="96" t="s">
        <v>496</v>
      </c>
      <c r="B70" s="91">
        <v>303</v>
      </c>
      <c r="C70" s="97" t="s">
        <v>515</v>
      </c>
      <c r="D70" s="97" t="s">
        <v>190</v>
      </c>
      <c r="E70" s="92">
        <v>363</v>
      </c>
      <c r="F70" s="97" t="s">
        <v>201</v>
      </c>
      <c r="G70" s="97" t="s">
        <v>190</v>
      </c>
      <c r="H70" s="92">
        <v>423</v>
      </c>
      <c r="I70" s="97" t="s">
        <v>228</v>
      </c>
      <c r="J70" s="97" t="s">
        <v>293</v>
      </c>
      <c r="K70" s="92">
        <v>483</v>
      </c>
      <c r="L70" s="109" t="s">
        <v>294</v>
      </c>
      <c r="M70" s="97" t="s">
        <v>190</v>
      </c>
      <c r="N70" s="93">
        <v>543</v>
      </c>
      <c r="O70" s="109" t="s">
        <v>264</v>
      </c>
    </row>
    <row r="71" spans="1:15" x14ac:dyDescent="0.3">
      <c r="A71" s="97" t="s">
        <v>496</v>
      </c>
      <c r="B71" s="91">
        <v>304</v>
      </c>
      <c r="C71" s="97" t="s">
        <v>516</v>
      </c>
      <c r="D71" s="97" t="s">
        <v>190</v>
      </c>
      <c r="E71" s="92">
        <v>364</v>
      </c>
      <c r="F71" s="97" t="s">
        <v>193</v>
      </c>
      <c r="G71" s="97" t="s">
        <v>190</v>
      </c>
      <c r="H71" s="92">
        <v>424</v>
      </c>
      <c r="I71" s="97" t="s">
        <v>218</v>
      </c>
      <c r="J71" s="97" t="s">
        <v>74</v>
      </c>
      <c r="K71" s="92">
        <v>484</v>
      </c>
      <c r="L71" s="109" t="s">
        <v>85</v>
      </c>
      <c r="M71" s="97" t="s">
        <v>190</v>
      </c>
      <c r="N71" s="92">
        <v>544</v>
      </c>
      <c r="O71" s="109" t="s">
        <v>265</v>
      </c>
    </row>
    <row r="72" spans="1:15" x14ac:dyDescent="0.3">
      <c r="A72" s="97" t="s">
        <v>496</v>
      </c>
      <c r="B72" s="91">
        <v>305</v>
      </c>
      <c r="C72" s="97" t="s">
        <v>517</v>
      </c>
      <c r="D72" s="97" t="s">
        <v>555</v>
      </c>
      <c r="E72" s="92">
        <v>365</v>
      </c>
      <c r="F72" s="97" t="s">
        <v>560</v>
      </c>
      <c r="G72" s="97"/>
      <c r="H72" s="92">
        <v>425</v>
      </c>
      <c r="I72" s="97"/>
      <c r="J72" s="97" t="s">
        <v>74</v>
      </c>
      <c r="K72" s="92">
        <v>485</v>
      </c>
      <c r="L72" s="109" t="s">
        <v>86</v>
      </c>
      <c r="M72" s="97" t="s">
        <v>190</v>
      </c>
      <c r="N72" s="93">
        <v>545</v>
      </c>
      <c r="O72" s="109" t="s">
        <v>268</v>
      </c>
    </row>
    <row r="73" spans="1:15" x14ac:dyDescent="0.3">
      <c r="A73" s="97" t="s">
        <v>496</v>
      </c>
      <c r="B73" s="91">
        <v>306</v>
      </c>
      <c r="C73" s="97" t="s">
        <v>520</v>
      </c>
      <c r="D73" s="97" t="s">
        <v>555</v>
      </c>
      <c r="E73" s="92">
        <v>366</v>
      </c>
      <c r="F73" s="97"/>
      <c r="G73" s="97" t="s">
        <v>190</v>
      </c>
      <c r="H73" s="92">
        <v>426</v>
      </c>
      <c r="I73" s="97" t="s">
        <v>221</v>
      </c>
      <c r="J73" s="97" t="s">
        <v>74</v>
      </c>
      <c r="K73" s="92">
        <v>486</v>
      </c>
      <c r="L73" s="109" t="s">
        <v>87</v>
      </c>
      <c r="M73" s="97" t="s">
        <v>190</v>
      </c>
      <c r="N73" s="92">
        <v>546</v>
      </c>
      <c r="O73" s="109" t="s">
        <v>263</v>
      </c>
    </row>
    <row r="74" spans="1:15" x14ac:dyDescent="0.3">
      <c r="A74" s="97" t="s">
        <v>98</v>
      </c>
      <c r="B74" s="91">
        <v>307</v>
      </c>
      <c r="C74" s="97" t="s">
        <v>121</v>
      </c>
      <c r="D74" s="97" t="s">
        <v>555</v>
      </c>
      <c r="E74" s="92">
        <v>367</v>
      </c>
      <c r="F74" s="97" t="s">
        <v>557</v>
      </c>
      <c r="G74" s="97" t="s">
        <v>190</v>
      </c>
      <c r="H74" s="92">
        <v>427</v>
      </c>
      <c r="I74" s="97" t="s">
        <v>220</v>
      </c>
      <c r="J74" s="97" t="s">
        <v>74</v>
      </c>
      <c r="K74" s="92">
        <v>487</v>
      </c>
      <c r="L74" s="109" t="s">
        <v>88</v>
      </c>
      <c r="M74" s="97" t="s">
        <v>190</v>
      </c>
      <c r="N74" s="93">
        <v>547</v>
      </c>
      <c r="O74" s="109" t="s">
        <v>263</v>
      </c>
    </row>
    <row r="75" spans="1:15" x14ac:dyDescent="0.3">
      <c r="A75" s="97" t="s">
        <v>98</v>
      </c>
      <c r="B75" s="91">
        <v>308</v>
      </c>
      <c r="C75" s="97" t="s">
        <v>131</v>
      </c>
      <c r="D75" s="97" t="s">
        <v>555</v>
      </c>
      <c r="E75" s="92">
        <v>368</v>
      </c>
      <c r="F75" s="97" t="s">
        <v>556</v>
      </c>
      <c r="G75" s="97"/>
      <c r="H75" s="92">
        <v>428</v>
      </c>
      <c r="I75" s="97"/>
      <c r="J75" s="97" t="s">
        <v>74</v>
      </c>
      <c r="K75" s="92">
        <v>488</v>
      </c>
      <c r="L75" s="109" t="s">
        <v>89</v>
      </c>
      <c r="M75" s="97" t="s">
        <v>190</v>
      </c>
      <c r="N75" s="92">
        <v>548</v>
      </c>
      <c r="O75" s="109" t="s">
        <v>262</v>
      </c>
    </row>
    <row r="76" spans="1:15" x14ac:dyDescent="0.3">
      <c r="A76" s="97" t="s">
        <v>98</v>
      </c>
      <c r="B76" s="91">
        <v>309</v>
      </c>
      <c r="C76" s="97" t="s">
        <v>135</v>
      </c>
      <c r="D76" s="97"/>
      <c r="E76" s="92">
        <v>369</v>
      </c>
      <c r="F76" s="97"/>
      <c r="G76" s="97"/>
      <c r="H76" s="92">
        <v>429</v>
      </c>
      <c r="I76" s="97"/>
      <c r="J76" s="97" t="s">
        <v>74</v>
      </c>
      <c r="K76" s="92">
        <v>489</v>
      </c>
      <c r="L76" s="109" t="s">
        <v>90</v>
      </c>
      <c r="M76" s="97" t="s">
        <v>190</v>
      </c>
      <c r="N76" s="93">
        <v>549</v>
      </c>
      <c r="O76" s="109" t="s">
        <v>258</v>
      </c>
    </row>
    <row r="77" spans="1:15" x14ac:dyDescent="0.3">
      <c r="A77" s="97"/>
      <c r="B77" s="91">
        <v>310</v>
      </c>
      <c r="C77" s="97"/>
      <c r="D77" s="97"/>
      <c r="E77" s="92">
        <v>370</v>
      </c>
      <c r="F77" s="97"/>
      <c r="G77" s="97" t="s">
        <v>190</v>
      </c>
      <c r="H77" s="92">
        <v>430</v>
      </c>
      <c r="I77" s="97" t="s">
        <v>277</v>
      </c>
      <c r="J77" s="97" t="s">
        <v>74</v>
      </c>
      <c r="K77" s="92">
        <v>490</v>
      </c>
      <c r="L77" s="109" t="s">
        <v>91</v>
      </c>
      <c r="M77" s="97" t="s">
        <v>190</v>
      </c>
      <c r="N77" s="92">
        <v>550</v>
      </c>
      <c r="O77" s="109" t="s">
        <v>244</v>
      </c>
    </row>
    <row r="78" spans="1:15" x14ac:dyDescent="0.3">
      <c r="A78" s="97" t="s">
        <v>98</v>
      </c>
      <c r="B78" s="91">
        <v>311</v>
      </c>
      <c r="C78" s="97" t="s">
        <v>128</v>
      </c>
      <c r="D78" s="97" t="s">
        <v>555</v>
      </c>
      <c r="E78" s="92">
        <v>371</v>
      </c>
      <c r="F78" s="97" t="s">
        <v>561</v>
      </c>
      <c r="G78" s="97" t="s">
        <v>190</v>
      </c>
      <c r="H78" s="92">
        <v>431</v>
      </c>
      <c r="I78" s="97" t="s">
        <v>278</v>
      </c>
      <c r="J78" s="97" t="s">
        <v>74</v>
      </c>
      <c r="K78" s="92">
        <v>491</v>
      </c>
      <c r="L78" s="109" t="s">
        <v>96</v>
      </c>
      <c r="M78" s="97" t="s">
        <v>190</v>
      </c>
      <c r="N78" s="93">
        <v>551</v>
      </c>
      <c r="O78" s="109" t="s">
        <v>242</v>
      </c>
    </row>
    <row r="79" spans="1:15" x14ac:dyDescent="0.3">
      <c r="A79" s="97" t="s">
        <v>98</v>
      </c>
      <c r="B79" s="91">
        <v>312</v>
      </c>
      <c r="C79" s="97" t="s">
        <v>124</v>
      </c>
      <c r="D79" s="97"/>
      <c r="E79" s="92">
        <v>372</v>
      </c>
      <c r="F79" s="97"/>
      <c r="G79" s="97" t="s">
        <v>190</v>
      </c>
      <c r="H79" s="92">
        <v>432</v>
      </c>
      <c r="I79" s="97" t="s">
        <v>276</v>
      </c>
      <c r="J79" s="97" t="s">
        <v>74</v>
      </c>
      <c r="K79" s="92">
        <v>492</v>
      </c>
      <c r="L79" s="109" t="s">
        <v>78</v>
      </c>
      <c r="M79" s="97" t="s">
        <v>190</v>
      </c>
      <c r="N79" s="92">
        <v>552</v>
      </c>
      <c r="O79" s="109" t="s">
        <v>195</v>
      </c>
    </row>
    <row r="80" spans="1:15" x14ac:dyDescent="0.3">
      <c r="A80" s="97" t="s">
        <v>98</v>
      </c>
      <c r="B80" s="91">
        <v>313</v>
      </c>
      <c r="C80" s="97" t="s">
        <v>133</v>
      </c>
      <c r="D80" s="97" t="s">
        <v>555</v>
      </c>
      <c r="E80" s="92">
        <v>373</v>
      </c>
      <c r="F80" s="97" t="s">
        <v>558</v>
      </c>
      <c r="G80" s="97" t="s">
        <v>190</v>
      </c>
      <c r="H80" s="92">
        <v>433</v>
      </c>
      <c r="I80" s="97" t="s">
        <v>274</v>
      </c>
      <c r="J80" s="97" t="s">
        <v>74</v>
      </c>
      <c r="K80" s="92">
        <v>493</v>
      </c>
      <c r="L80" s="109" t="s">
        <v>79</v>
      </c>
      <c r="M80" s="97"/>
      <c r="N80" s="93">
        <v>553</v>
      </c>
      <c r="O80" s="109"/>
    </row>
    <row r="81" spans="1:15" x14ac:dyDescent="0.3">
      <c r="A81" s="97" t="s">
        <v>98</v>
      </c>
      <c r="B81" s="91">
        <v>314</v>
      </c>
      <c r="C81" s="97" t="s">
        <v>126</v>
      </c>
      <c r="D81" s="97"/>
      <c r="E81" s="92">
        <v>374</v>
      </c>
      <c r="F81" s="97"/>
      <c r="G81" s="97"/>
      <c r="H81" s="92">
        <v>434</v>
      </c>
      <c r="I81" s="97"/>
      <c r="J81" s="97" t="s">
        <v>74</v>
      </c>
      <c r="K81" s="92">
        <v>494</v>
      </c>
      <c r="L81" s="109" t="s">
        <v>80</v>
      </c>
      <c r="M81" s="97"/>
      <c r="N81" s="92">
        <v>554</v>
      </c>
      <c r="O81" s="109"/>
    </row>
    <row r="82" spans="1:15" x14ac:dyDescent="0.3">
      <c r="A82" s="97" t="s">
        <v>98</v>
      </c>
      <c r="B82" s="91">
        <v>315</v>
      </c>
      <c r="C82" s="97" t="s">
        <v>127</v>
      </c>
      <c r="D82" s="97"/>
      <c r="E82" s="92">
        <v>375</v>
      </c>
      <c r="F82" s="97"/>
      <c r="G82" s="97" t="s">
        <v>190</v>
      </c>
      <c r="H82" s="92">
        <v>435</v>
      </c>
      <c r="I82" s="97"/>
      <c r="J82" s="97" t="s">
        <v>74</v>
      </c>
      <c r="K82" s="92">
        <v>495</v>
      </c>
      <c r="L82" s="109" t="s">
        <v>81</v>
      </c>
      <c r="M82" s="97"/>
      <c r="N82" s="93">
        <v>555</v>
      </c>
      <c r="O82" s="109"/>
    </row>
    <row r="83" spans="1:15" x14ac:dyDescent="0.3">
      <c r="A83" s="97" t="s">
        <v>98</v>
      </c>
      <c r="B83" s="91">
        <v>316</v>
      </c>
      <c r="C83" s="97" t="s">
        <v>120</v>
      </c>
      <c r="D83" s="97"/>
      <c r="E83" s="92">
        <v>376</v>
      </c>
      <c r="F83" s="97"/>
      <c r="G83" s="97"/>
      <c r="H83" s="92">
        <v>436</v>
      </c>
      <c r="I83" s="97"/>
      <c r="J83" s="97" t="s">
        <v>74</v>
      </c>
      <c r="K83" s="92">
        <v>496</v>
      </c>
      <c r="L83" s="111" t="s">
        <v>77</v>
      </c>
      <c r="M83" s="97"/>
      <c r="N83" s="92">
        <v>556</v>
      </c>
      <c r="O83" s="109"/>
    </row>
    <row r="84" spans="1:15" x14ac:dyDescent="0.3">
      <c r="A84" s="97" t="s">
        <v>521</v>
      </c>
      <c r="B84" s="91">
        <v>317</v>
      </c>
      <c r="C84" s="97" t="s">
        <v>522</v>
      </c>
      <c r="D84" s="97" t="s">
        <v>190</v>
      </c>
      <c r="E84" s="92">
        <v>377</v>
      </c>
      <c r="F84" s="97" t="s">
        <v>193</v>
      </c>
      <c r="G84" s="97" t="s">
        <v>190</v>
      </c>
      <c r="H84" s="92">
        <v>437</v>
      </c>
      <c r="I84" s="97" t="s">
        <v>204</v>
      </c>
      <c r="J84" s="97" t="s">
        <v>74</v>
      </c>
      <c r="K84" s="92">
        <v>497</v>
      </c>
      <c r="L84" s="109" t="s">
        <v>93</v>
      </c>
      <c r="M84" s="97"/>
      <c r="N84" s="93">
        <v>557</v>
      </c>
      <c r="O84" s="109"/>
    </row>
    <row r="85" spans="1:15" x14ac:dyDescent="0.3">
      <c r="A85" s="97" t="s">
        <v>521</v>
      </c>
      <c r="B85" s="91">
        <v>318</v>
      </c>
      <c r="C85" s="97" t="s">
        <v>540</v>
      </c>
      <c r="D85" s="97" t="s">
        <v>190</v>
      </c>
      <c r="E85" s="92">
        <v>378</v>
      </c>
      <c r="F85" s="97" t="s">
        <v>193</v>
      </c>
      <c r="G85" s="97" t="s">
        <v>190</v>
      </c>
      <c r="H85" s="92">
        <v>438</v>
      </c>
      <c r="I85" s="97" t="s">
        <v>199</v>
      </c>
      <c r="J85" s="97" t="s">
        <v>74</v>
      </c>
      <c r="K85" s="92">
        <v>498</v>
      </c>
      <c r="L85" s="109" t="s">
        <v>97</v>
      </c>
      <c r="M85" s="97"/>
      <c r="N85" s="92">
        <v>558</v>
      </c>
      <c r="O85" s="109"/>
    </row>
    <row r="86" spans="1:15" x14ac:dyDescent="0.3">
      <c r="A86" s="97" t="s">
        <v>521</v>
      </c>
      <c r="B86" s="91">
        <v>319</v>
      </c>
      <c r="C86" s="97" t="s">
        <v>541</v>
      </c>
      <c r="D86" s="97" t="s">
        <v>190</v>
      </c>
      <c r="E86" s="92">
        <v>379</v>
      </c>
      <c r="F86" s="97" t="s">
        <v>193</v>
      </c>
      <c r="G86" s="97"/>
      <c r="H86" s="92">
        <v>439</v>
      </c>
      <c r="I86" s="97"/>
      <c r="J86" s="97"/>
      <c r="K86" s="92">
        <v>499</v>
      </c>
      <c r="L86" s="109"/>
      <c r="M86" s="97"/>
      <c r="N86" s="93">
        <v>559</v>
      </c>
      <c r="O86" s="109"/>
    </row>
    <row r="87" spans="1:15" x14ac:dyDescent="0.3">
      <c r="B87" s="91">
        <v>320</v>
      </c>
      <c r="C87" s="97"/>
      <c r="D87" s="97" t="s">
        <v>190</v>
      </c>
      <c r="E87" s="92">
        <v>380</v>
      </c>
      <c r="F87" s="97" t="s">
        <v>202</v>
      </c>
      <c r="G87" s="97"/>
      <c r="H87" s="92">
        <v>440</v>
      </c>
      <c r="I87" s="97"/>
      <c r="J87" s="97"/>
      <c r="K87" s="92">
        <v>500</v>
      </c>
      <c r="L87" s="109"/>
      <c r="M87" s="97"/>
      <c r="N87" s="92">
        <v>560</v>
      </c>
      <c r="O87" s="109"/>
    </row>
    <row r="88" spans="1:15" x14ac:dyDescent="0.3">
      <c r="A88" s="97" t="s">
        <v>521</v>
      </c>
      <c r="B88" s="91">
        <v>321</v>
      </c>
      <c r="C88" s="97" t="s">
        <v>547</v>
      </c>
      <c r="D88" s="97" t="s">
        <v>190</v>
      </c>
      <c r="E88" s="92">
        <v>381</v>
      </c>
      <c r="F88" s="97" t="s">
        <v>203</v>
      </c>
      <c r="G88" s="97"/>
      <c r="H88" s="92">
        <v>441</v>
      </c>
      <c r="I88" s="97"/>
      <c r="J88" s="97" t="s">
        <v>74</v>
      </c>
      <c r="K88" s="92">
        <v>501</v>
      </c>
      <c r="L88" s="109" t="s">
        <v>82</v>
      </c>
      <c r="M88" s="97"/>
      <c r="N88" s="93">
        <v>561</v>
      </c>
      <c r="O88" s="109"/>
    </row>
    <row r="89" spans="1:15" x14ac:dyDescent="0.3">
      <c r="A89" s="97" t="s">
        <v>521</v>
      </c>
      <c r="B89" s="91">
        <v>322</v>
      </c>
      <c r="C89" s="97" t="s">
        <v>542</v>
      </c>
      <c r="D89" s="97"/>
      <c r="E89" s="92">
        <v>382</v>
      </c>
      <c r="F89" s="97"/>
      <c r="G89" s="97"/>
      <c r="H89" s="92">
        <v>442</v>
      </c>
      <c r="I89" s="97"/>
      <c r="J89" s="97" t="s">
        <v>74</v>
      </c>
      <c r="K89" s="92">
        <v>502</v>
      </c>
      <c r="L89" s="109" t="s">
        <v>84</v>
      </c>
      <c r="M89" s="97"/>
      <c r="N89" s="92">
        <v>562</v>
      </c>
      <c r="O89" s="109"/>
    </row>
    <row r="90" spans="1:15" x14ac:dyDescent="0.3">
      <c r="A90" s="97" t="s">
        <v>521</v>
      </c>
      <c r="B90" s="91">
        <v>323</v>
      </c>
      <c r="C90" s="97" t="s">
        <v>561</v>
      </c>
      <c r="D90" s="97" t="s">
        <v>190</v>
      </c>
      <c r="E90" s="92">
        <v>383</v>
      </c>
      <c r="F90" s="97" t="s">
        <v>193</v>
      </c>
      <c r="G90" s="97"/>
      <c r="H90" s="92">
        <v>443</v>
      </c>
      <c r="I90" s="97"/>
      <c r="J90" s="97" t="s">
        <v>74</v>
      </c>
      <c r="K90" s="92">
        <v>503</v>
      </c>
      <c r="L90" s="109" t="s">
        <v>92</v>
      </c>
      <c r="M90" s="97"/>
      <c r="N90" s="93">
        <v>563</v>
      </c>
      <c r="O90" s="109"/>
    </row>
    <row r="91" spans="1:15" x14ac:dyDescent="0.3">
      <c r="A91" s="97" t="s">
        <v>521</v>
      </c>
      <c r="B91" s="91">
        <v>324</v>
      </c>
      <c r="C91" s="97" t="s">
        <v>549</v>
      </c>
      <c r="D91" s="97" t="s">
        <v>190</v>
      </c>
      <c r="E91" s="92">
        <v>384</v>
      </c>
      <c r="F91" s="97" t="s">
        <v>193</v>
      </c>
      <c r="G91" s="97"/>
      <c r="H91" s="92">
        <v>444</v>
      </c>
      <c r="I91" s="97"/>
      <c r="J91" s="97" t="s">
        <v>74</v>
      </c>
      <c r="K91" s="92">
        <v>504</v>
      </c>
      <c r="L91" s="109" t="s">
        <v>94</v>
      </c>
      <c r="M91" s="97"/>
      <c r="N91" s="92">
        <v>564</v>
      </c>
      <c r="O91" s="109"/>
    </row>
    <row r="92" spans="1:15" x14ac:dyDescent="0.3">
      <c r="A92" s="97" t="s">
        <v>521</v>
      </c>
      <c r="B92" s="91">
        <v>325</v>
      </c>
      <c r="C92" s="95" t="s">
        <v>562</v>
      </c>
      <c r="D92" s="97" t="s">
        <v>190</v>
      </c>
      <c r="E92" s="92">
        <v>385</v>
      </c>
      <c r="F92" s="97" t="s">
        <v>205</v>
      </c>
      <c r="G92" s="97"/>
      <c r="H92" s="92">
        <v>445</v>
      </c>
      <c r="I92" s="97"/>
      <c r="J92" s="97" t="s">
        <v>74</v>
      </c>
      <c r="K92" s="92">
        <v>505</v>
      </c>
      <c r="L92" s="109" t="s">
        <v>95</v>
      </c>
      <c r="M92" s="97"/>
      <c r="N92" s="93">
        <v>565</v>
      </c>
      <c r="O92" s="109"/>
    </row>
    <row r="93" spans="1:15" x14ac:dyDescent="0.3">
      <c r="A93" s="97" t="s">
        <v>521</v>
      </c>
      <c r="B93" s="91">
        <v>326</v>
      </c>
      <c r="C93" s="97"/>
      <c r="D93" s="97" t="s">
        <v>190</v>
      </c>
      <c r="E93" s="92">
        <v>386</v>
      </c>
      <c r="F93" s="97" t="s">
        <v>193</v>
      </c>
      <c r="G93" s="97"/>
      <c r="H93" s="92">
        <v>446</v>
      </c>
      <c r="I93" s="97"/>
      <c r="J93" s="97" t="s">
        <v>74</v>
      </c>
      <c r="K93" s="92">
        <v>506</v>
      </c>
      <c r="L93" s="109" t="s">
        <v>83</v>
      </c>
      <c r="M93" s="97"/>
      <c r="N93" s="92">
        <v>566</v>
      </c>
      <c r="O93" s="109"/>
    </row>
    <row r="94" spans="1:15" x14ac:dyDescent="0.3">
      <c r="A94" s="97" t="s">
        <v>521</v>
      </c>
      <c r="B94" s="91">
        <v>327</v>
      </c>
      <c r="C94" s="97" t="s">
        <v>539</v>
      </c>
      <c r="D94" s="97" t="s">
        <v>190</v>
      </c>
      <c r="E94" s="92">
        <v>387</v>
      </c>
      <c r="F94" s="97" t="s">
        <v>211</v>
      </c>
      <c r="G94" s="97" t="s">
        <v>190</v>
      </c>
      <c r="H94" s="92">
        <v>447</v>
      </c>
      <c r="I94" s="97" t="s">
        <v>286</v>
      </c>
      <c r="J94" s="97" t="s">
        <v>74</v>
      </c>
      <c r="K94" s="92">
        <v>507</v>
      </c>
      <c r="L94" s="109" t="s">
        <v>82</v>
      </c>
      <c r="M94" s="97"/>
      <c r="N94" s="93">
        <v>567</v>
      </c>
      <c r="O94" s="109"/>
    </row>
    <row r="95" spans="1:15" x14ac:dyDescent="0.3">
      <c r="A95" s="97"/>
      <c r="B95" s="91">
        <v>328</v>
      </c>
      <c r="C95" s="97"/>
      <c r="D95" s="97"/>
      <c r="E95" s="92">
        <v>388</v>
      </c>
      <c r="F95" s="97"/>
      <c r="G95" s="97" t="s">
        <v>190</v>
      </c>
      <c r="H95" s="92">
        <v>448</v>
      </c>
      <c r="I95" s="97" t="s">
        <v>285</v>
      </c>
      <c r="J95" s="97" t="s">
        <v>178</v>
      </c>
      <c r="K95" s="92">
        <v>508</v>
      </c>
      <c r="L95" s="109" t="s">
        <v>182</v>
      </c>
      <c r="M95" s="97"/>
      <c r="N95" s="92">
        <v>568</v>
      </c>
      <c r="O95" s="109"/>
    </row>
    <row r="96" spans="1:15" x14ac:dyDescent="0.3">
      <c r="A96" s="97" t="s">
        <v>521</v>
      </c>
      <c r="B96" s="91">
        <v>329</v>
      </c>
      <c r="C96" s="97" t="s">
        <v>559</v>
      </c>
      <c r="D96" s="97" t="s">
        <v>190</v>
      </c>
      <c r="E96" s="92">
        <v>389</v>
      </c>
      <c r="F96" s="97" t="s">
        <v>208</v>
      </c>
      <c r="G96" s="97" t="s">
        <v>190</v>
      </c>
      <c r="H96" s="92">
        <v>449</v>
      </c>
      <c r="I96" s="97" t="s">
        <v>283</v>
      </c>
      <c r="J96" s="97" t="s">
        <v>178</v>
      </c>
      <c r="K96" s="92">
        <v>509</v>
      </c>
      <c r="L96" s="109" t="s">
        <v>180</v>
      </c>
      <c r="M96" s="97"/>
      <c r="N96" s="93">
        <v>569</v>
      </c>
      <c r="O96" s="109"/>
    </row>
    <row r="97" spans="1:15" x14ac:dyDescent="0.3">
      <c r="A97" s="97" t="s">
        <v>521</v>
      </c>
      <c r="B97" s="91">
        <v>330</v>
      </c>
      <c r="C97" s="97" t="s">
        <v>552</v>
      </c>
      <c r="D97" s="97" t="s">
        <v>190</v>
      </c>
      <c r="E97" s="92">
        <v>390</v>
      </c>
      <c r="F97" s="97" t="s">
        <v>207</v>
      </c>
      <c r="G97" s="97" t="s">
        <v>190</v>
      </c>
      <c r="H97" s="92">
        <v>450</v>
      </c>
      <c r="I97" s="97" t="s">
        <v>284</v>
      </c>
      <c r="J97" s="97" t="s">
        <v>178</v>
      </c>
      <c r="K97" s="92">
        <v>510</v>
      </c>
      <c r="L97" s="109" t="s">
        <v>179</v>
      </c>
      <c r="M97" s="97"/>
      <c r="N97" s="92">
        <v>570</v>
      </c>
      <c r="O97" s="109"/>
    </row>
    <row r="98" spans="1:15" x14ac:dyDescent="0.3">
      <c r="A98" s="97" t="s">
        <v>521</v>
      </c>
      <c r="B98" s="91">
        <v>331</v>
      </c>
      <c r="C98" s="97" t="s">
        <v>536</v>
      </c>
      <c r="D98" s="97" t="s">
        <v>190</v>
      </c>
      <c r="E98" s="92">
        <v>391</v>
      </c>
      <c r="F98" s="97" t="s">
        <v>206</v>
      </c>
      <c r="G98" s="97"/>
      <c r="H98" s="92">
        <v>451</v>
      </c>
      <c r="I98" s="97"/>
      <c r="J98" s="97" t="s">
        <v>178</v>
      </c>
      <c r="K98" s="92">
        <v>511</v>
      </c>
      <c r="L98" s="109" t="s">
        <v>183</v>
      </c>
      <c r="M98" s="97"/>
      <c r="N98" s="93">
        <v>571</v>
      </c>
      <c r="O98" s="109"/>
    </row>
    <row r="99" spans="1:15" x14ac:dyDescent="0.3">
      <c r="A99" s="97" t="s">
        <v>521</v>
      </c>
      <c r="B99" s="91">
        <v>332</v>
      </c>
      <c r="C99" s="97" t="s">
        <v>535</v>
      </c>
      <c r="D99" s="97" t="s">
        <v>190</v>
      </c>
      <c r="E99" s="92">
        <v>392</v>
      </c>
      <c r="F99" s="97" t="s">
        <v>193</v>
      </c>
      <c r="G99" s="97" t="s">
        <v>190</v>
      </c>
      <c r="H99" s="92">
        <v>452</v>
      </c>
      <c r="I99" s="97" t="s">
        <v>283</v>
      </c>
      <c r="J99" s="97" t="s">
        <v>178</v>
      </c>
      <c r="K99" s="92">
        <v>512</v>
      </c>
      <c r="L99" s="109" t="s">
        <v>184</v>
      </c>
      <c r="M99" s="97"/>
      <c r="N99" s="92">
        <v>572</v>
      </c>
      <c r="O99" s="109"/>
    </row>
    <row r="100" spans="1:15" x14ac:dyDescent="0.3">
      <c r="A100" s="97" t="s">
        <v>521</v>
      </c>
      <c r="B100" s="91">
        <v>333</v>
      </c>
      <c r="C100" s="97" t="s">
        <v>534</v>
      </c>
      <c r="D100" s="97" t="s">
        <v>190</v>
      </c>
      <c r="E100" s="92">
        <v>393</v>
      </c>
      <c r="F100" s="97" t="s">
        <v>212</v>
      </c>
      <c r="G100" s="97" t="s">
        <v>190</v>
      </c>
      <c r="H100" s="92">
        <v>453</v>
      </c>
      <c r="I100" s="97" t="s">
        <v>282</v>
      </c>
      <c r="J100" s="97" t="s">
        <v>178</v>
      </c>
      <c r="K100" s="92">
        <v>513</v>
      </c>
      <c r="L100" s="109" t="s">
        <v>185</v>
      </c>
      <c r="M100" s="97"/>
      <c r="N100" s="93">
        <v>573</v>
      </c>
      <c r="O100" s="109"/>
    </row>
    <row r="101" spans="1:15" x14ac:dyDescent="0.3">
      <c r="A101" s="97" t="s">
        <v>521</v>
      </c>
      <c r="B101" s="91">
        <v>334</v>
      </c>
      <c r="C101" s="97" t="s">
        <v>551</v>
      </c>
      <c r="D101" s="97" t="s">
        <v>190</v>
      </c>
      <c r="E101" s="92">
        <v>394</v>
      </c>
      <c r="F101" s="97" t="s">
        <v>213</v>
      </c>
      <c r="G101" s="97" t="s">
        <v>190</v>
      </c>
      <c r="H101" s="92">
        <v>454</v>
      </c>
      <c r="I101" s="97" t="s">
        <v>281</v>
      </c>
      <c r="J101" s="97" t="s">
        <v>178</v>
      </c>
      <c r="K101" s="92">
        <v>514</v>
      </c>
      <c r="L101" s="109" t="s">
        <v>187</v>
      </c>
      <c r="M101" s="97"/>
      <c r="N101" s="92">
        <v>574</v>
      </c>
      <c r="O101" s="109"/>
    </row>
    <row r="102" spans="1:15" x14ac:dyDescent="0.3">
      <c r="A102" s="97" t="s">
        <v>521</v>
      </c>
      <c r="B102" s="91">
        <v>335</v>
      </c>
      <c r="C102" s="97" t="s">
        <v>537</v>
      </c>
      <c r="D102" s="97" t="s">
        <v>190</v>
      </c>
      <c r="E102" s="92">
        <v>395</v>
      </c>
      <c r="F102" s="97" t="s">
        <v>215</v>
      </c>
      <c r="G102" s="97" t="s">
        <v>190</v>
      </c>
      <c r="H102" s="92">
        <v>455</v>
      </c>
      <c r="I102" s="97" t="s">
        <v>280</v>
      </c>
      <c r="J102" s="97" t="s">
        <v>178</v>
      </c>
      <c r="K102" s="92">
        <v>515</v>
      </c>
      <c r="L102" s="109" t="s">
        <v>189</v>
      </c>
      <c r="M102" s="97"/>
      <c r="N102" s="93">
        <v>575</v>
      </c>
      <c r="O102" s="109"/>
    </row>
    <row r="103" spans="1:15" x14ac:dyDescent="0.3">
      <c r="A103" s="97" t="s">
        <v>521</v>
      </c>
      <c r="B103" s="91">
        <v>336</v>
      </c>
      <c r="C103" s="97" t="s">
        <v>523</v>
      </c>
      <c r="D103" s="97" t="s">
        <v>190</v>
      </c>
      <c r="E103" s="92">
        <v>396</v>
      </c>
      <c r="F103" s="97" t="s">
        <v>209</v>
      </c>
      <c r="G103" s="97" t="s">
        <v>190</v>
      </c>
      <c r="H103" s="92">
        <v>456</v>
      </c>
      <c r="I103" s="97" t="s">
        <v>275</v>
      </c>
      <c r="J103" s="97" t="s">
        <v>147</v>
      </c>
      <c r="K103" s="92">
        <v>516</v>
      </c>
      <c r="L103" s="109" t="s">
        <v>173</v>
      </c>
      <c r="M103" s="97"/>
      <c r="N103" s="92">
        <v>576</v>
      </c>
      <c r="O103" s="109"/>
    </row>
    <row r="104" spans="1:15" x14ac:dyDescent="0.3">
      <c r="A104" s="97" t="s">
        <v>521</v>
      </c>
      <c r="B104" s="91">
        <v>337</v>
      </c>
      <c r="C104" s="97" t="s">
        <v>524</v>
      </c>
      <c r="D104" s="97" t="s">
        <v>190</v>
      </c>
      <c r="E104" s="92">
        <v>397</v>
      </c>
      <c r="F104" s="97" t="s">
        <v>208</v>
      </c>
      <c r="G104" s="97" t="s">
        <v>190</v>
      </c>
      <c r="H104" s="92">
        <v>457</v>
      </c>
      <c r="I104" s="97" t="s">
        <v>273</v>
      </c>
      <c r="J104" s="97" t="s">
        <v>147</v>
      </c>
      <c r="K104" s="92">
        <v>517</v>
      </c>
      <c r="L104" s="109" t="s">
        <v>174</v>
      </c>
      <c r="M104" s="97"/>
      <c r="N104" s="93">
        <v>577</v>
      </c>
      <c r="O104" s="109"/>
    </row>
    <row r="105" spans="1:15" x14ac:dyDescent="0.3">
      <c r="A105" s="97" t="s">
        <v>521</v>
      </c>
      <c r="B105" s="91">
        <v>338</v>
      </c>
      <c r="C105" s="97" t="s">
        <v>525</v>
      </c>
      <c r="D105" s="97" t="s">
        <v>190</v>
      </c>
      <c r="E105" s="92">
        <v>398</v>
      </c>
      <c r="F105" s="97" t="s">
        <v>210</v>
      </c>
      <c r="G105" s="97" t="s">
        <v>190</v>
      </c>
      <c r="H105" s="92">
        <v>458</v>
      </c>
      <c r="I105" s="97" t="s">
        <v>270</v>
      </c>
      <c r="J105" s="97" t="s">
        <v>147</v>
      </c>
      <c r="K105" s="92">
        <v>518</v>
      </c>
      <c r="L105" s="109" t="s">
        <v>175</v>
      </c>
      <c r="M105" s="97"/>
      <c r="N105" s="92">
        <v>578</v>
      </c>
      <c r="O105" s="109"/>
    </row>
    <row r="106" spans="1:15" x14ac:dyDescent="0.3">
      <c r="A106" s="97" t="s">
        <v>521</v>
      </c>
      <c r="B106" s="91">
        <v>339</v>
      </c>
      <c r="C106" s="97" t="s">
        <v>538</v>
      </c>
      <c r="D106" s="97" t="s">
        <v>190</v>
      </c>
      <c r="E106" s="92">
        <v>399</v>
      </c>
      <c r="F106" s="97" t="s">
        <v>217</v>
      </c>
      <c r="G106" s="97" t="s">
        <v>190</v>
      </c>
      <c r="H106" s="92">
        <v>459</v>
      </c>
      <c r="I106" s="97" t="s">
        <v>272</v>
      </c>
      <c r="J106" s="97" t="s">
        <v>147</v>
      </c>
      <c r="K106" s="92">
        <v>519</v>
      </c>
      <c r="L106" s="109" t="s">
        <v>176</v>
      </c>
      <c r="M106" s="97"/>
      <c r="N106" s="93">
        <v>579</v>
      </c>
      <c r="O106" s="109"/>
    </row>
    <row r="107" spans="1:15" x14ac:dyDescent="0.3">
      <c r="A107" s="97" t="s">
        <v>521</v>
      </c>
      <c r="B107" s="91">
        <v>340</v>
      </c>
      <c r="C107" s="97" t="s">
        <v>545</v>
      </c>
      <c r="D107" s="97"/>
      <c r="E107" s="92">
        <v>400</v>
      </c>
      <c r="F107" s="97"/>
      <c r="G107" s="97" t="s">
        <v>190</v>
      </c>
      <c r="H107" s="92">
        <v>460</v>
      </c>
      <c r="I107" s="97" t="s">
        <v>269</v>
      </c>
      <c r="J107" s="97" t="s">
        <v>147</v>
      </c>
      <c r="K107" s="92">
        <v>520</v>
      </c>
      <c r="L107" s="109" t="s">
        <v>153</v>
      </c>
      <c r="M107" s="97"/>
      <c r="N107" s="92">
        <v>580</v>
      </c>
      <c r="O107" s="109"/>
    </row>
    <row r="108" spans="1:15" x14ac:dyDescent="0.3">
      <c r="A108" s="97"/>
      <c r="B108" s="91">
        <v>341</v>
      </c>
      <c r="C108" s="97"/>
      <c r="D108" s="97"/>
      <c r="E108" s="92">
        <v>401</v>
      </c>
      <c r="F108" s="97"/>
      <c r="G108" s="97"/>
      <c r="H108" s="92">
        <v>461</v>
      </c>
      <c r="I108" s="97"/>
      <c r="J108" s="97" t="s">
        <v>147</v>
      </c>
      <c r="K108" s="92">
        <v>521</v>
      </c>
      <c r="L108" s="109" t="s">
        <v>152</v>
      </c>
      <c r="M108" s="97" t="s">
        <v>190</v>
      </c>
      <c r="N108" s="93">
        <v>581</v>
      </c>
      <c r="O108" s="109" t="s">
        <v>270</v>
      </c>
    </row>
    <row r="109" spans="1:15" x14ac:dyDescent="0.3">
      <c r="A109" s="97" t="s">
        <v>521</v>
      </c>
      <c r="B109" s="91">
        <v>342</v>
      </c>
      <c r="C109" s="97" t="s">
        <v>546</v>
      </c>
      <c r="D109" s="97" t="s">
        <v>190</v>
      </c>
      <c r="E109" s="92">
        <v>402</v>
      </c>
      <c r="F109" s="97" t="s">
        <v>219</v>
      </c>
      <c r="G109" s="97"/>
      <c r="H109" s="92">
        <v>462</v>
      </c>
      <c r="I109" s="97"/>
      <c r="J109" s="97" t="s">
        <v>147</v>
      </c>
      <c r="K109" s="92">
        <v>522</v>
      </c>
      <c r="L109" s="109" t="s">
        <v>151</v>
      </c>
      <c r="M109" s="97" t="s">
        <v>190</v>
      </c>
      <c r="N109" s="92">
        <v>582</v>
      </c>
      <c r="O109" s="109" t="s">
        <v>271</v>
      </c>
    </row>
    <row r="110" spans="1:15" x14ac:dyDescent="0.3">
      <c r="A110" s="97" t="s">
        <v>521</v>
      </c>
      <c r="B110" s="91">
        <v>343</v>
      </c>
      <c r="C110" s="97" t="s">
        <v>544</v>
      </c>
      <c r="D110" s="97" t="s">
        <v>190</v>
      </c>
      <c r="E110" s="92">
        <v>403</v>
      </c>
      <c r="F110" s="97" t="s">
        <v>230</v>
      </c>
      <c r="G110" s="97"/>
      <c r="H110" s="92">
        <v>463</v>
      </c>
      <c r="I110" s="97"/>
      <c r="J110" s="97" t="s">
        <v>147</v>
      </c>
      <c r="K110" s="92">
        <v>523</v>
      </c>
      <c r="L110" s="109" t="s">
        <v>157</v>
      </c>
      <c r="M110" s="97" t="s">
        <v>190</v>
      </c>
      <c r="N110" s="93">
        <v>583</v>
      </c>
      <c r="O110" s="109" t="s">
        <v>243</v>
      </c>
    </row>
    <row r="111" spans="1:15" x14ac:dyDescent="0.3">
      <c r="A111" s="97" t="s">
        <v>521</v>
      </c>
      <c r="B111" s="91">
        <v>344</v>
      </c>
      <c r="C111" s="97" t="s">
        <v>553</v>
      </c>
      <c r="D111" s="97" t="s">
        <v>190</v>
      </c>
      <c r="E111" s="92">
        <v>404</v>
      </c>
      <c r="F111" s="97" t="s">
        <v>221</v>
      </c>
      <c r="G111" s="97"/>
      <c r="H111" s="92">
        <v>464</v>
      </c>
      <c r="I111" s="97"/>
      <c r="J111" s="97" t="s">
        <v>147</v>
      </c>
      <c r="K111" s="92">
        <v>524</v>
      </c>
      <c r="L111" s="109" t="s">
        <v>156</v>
      </c>
      <c r="M111" s="97" t="s">
        <v>190</v>
      </c>
      <c r="N111" s="92">
        <v>584</v>
      </c>
      <c r="O111" s="109" t="s">
        <v>257</v>
      </c>
    </row>
    <row r="112" spans="1:15" x14ac:dyDescent="0.3">
      <c r="A112" s="97" t="s">
        <v>521</v>
      </c>
      <c r="B112" s="91">
        <v>345</v>
      </c>
      <c r="C112" s="97" t="s">
        <v>548</v>
      </c>
      <c r="D112" s="97"/>
      <c r="E112" s="92">
        <v>405</v>
      </c>
      <c r="F112" s="97"/>
      <c r="G112" s="97"/>
      <c r="H112" s="92">
        <v>465</v>
      </c>
      <c r="I112" s="97"/>
      <c r="J112" s="97" t="s">
        <v>147</v>
      </c>
      <c r="K112" s="92">
        <v>525</v>
      </c>
      <c r="L112" s="109" t="s">
        <v>155</v>
      </c>
      <c r="M112" s="97" t="s">
        <v>190</v>
      </c>
      <c r="N112" s="93">
        <v>585</v>
      </c>
      <c r="O112" s="109" t="s">
        <v>256</v>
      </c>
    </row>
    <row r="113" spans="1:15" x14ac:dyDescent="0.3">
      <c r="A113" s="97"/>
      <c r="B113" s="91">
        <v>346</v>
      </c>
      <c r="C113" s="97"/>
      <c r="D113" s="97" t="s">
        <v>190</v>
      </c>
      <c r="E113" s="92">
        <v>406</v>
      </c>
      <c r="F113" s="97" t="s">
        <v>225</v>
      </c>
      <c r="G113" s="97"/>
      <c r="H113" s="92">
        <v>466</v>
      </c>
      <c r="I113" s="97"/>
      <c r="J113" s="97" t="s">
        <v>147</v>
      </c>
      <c r="K113" s="92">
        <v>526</v>
      </c>
      <c r="L113" s="109" t="s">
        <v>154</v>
      </c>
      <c r="M113" s="97"/>
      <c r="N113" s="92">
        <v>586</v>
      </c>
      <c r="O113" s="109"/>
    </row>
    <row r="114" spans="1:15" x14ac:dyDescent="0.3">
      <c r="A114" s="97" t="s">
        <v>521</v>
      </c>
      <c r="B114" s="91">
        <v>347</v>
      </c>
      <c r="C114" s="97" t="s">
        <v>522</v>
      </c>
      <c r="D114" s="97"/>
      <c r="E114" s="92">
        <v>407</v>
      </c>
      <c r="F114" s="97"/>
      <c r="G114" s="97"/>
      <c r="H114" s="92">
        <v>467</v>
      </c>
      <c r="I114" s="97"/>
      <c r="J114" s="97" t="s">
        <v>147</v>
      </c>
      <c r="K114" s="92">
        <v>527</v>
      </c>
      <c r="L114" s="109" t="s">
        <v>165</v>
      </c>
      <c r="M114" s="97"/>
      <c r="N114" s="93">
        <v>587</v>
      </c>
      <c r="O114" s="109"/>
    </row>
    <row r="115" spans="1:15" x14ac:dyDescent="0.3">
      <c r="A115" s="97" t="s">
        <v>521</v>
      </c>
      <c r="B115" s="91">
        <v>348</v>
      </c>
      <c r="C115" s="97" t="s">
        <v>554</v>
      </c>
      <c r="D115" s="97" t="s">
        <v>190</v>
      </c>
      <c r="E115" s="92">
        <v>408</v>
      </c>
      <c r="F115" s="97" t="s">
        <v>233</v>
      </c>
      <c r="G115" s="97"/>
      <c r="H115" s="92">
        <v>468</v>
      </c>
      <c r="I115" s="97"/>
      <c r="J115" s="97" t="s">
        <v>147</v>
      </c>
      <c r="K115" s="92">
        <v>528</v>
      </c>
      <c r="L115" s="109" t="s">
        <v>167</v>
      </c>
      <c r="M115" s="97" t="s">
        <v>190</v>
      </c>
      <c r="N115" s="92">
        <v>588</v>
      </c>
      <c r="O115" s="109" t="s">
        <v>246</v>
      </c>
    </row>
    <row r="116" spans="1:15" x14ac:dyDescent="0.3">
      <c r="A116" s="97"/>
      <c r="B116" s="91">
        <v>349</v>
      </c>
      <c r="C116" s="97"/>
      <c r="D116" s="97"/>
      <c r="E116" s="92">
        <v>409</v>
      </c>
      <c r="F116" s="97"/>
      <c r="G116" s="97"/>
      <c r="H116" s="92">
        <v>469</v>
      </c>
      <c r="I116" s="97"/>
      <c r="J116" s="97" t="s">
        <v>147</v>
      </c>
      <c r="K116" s="92">
        <v>529</v>
      </c>
      <c r="L116" s="109" t="s">
        <v>168</v>
      </c>
      <c r="M116" s="97" t="s">
        <v>190</v>
      </c>
      <c r="N116" s="93">
        <v>589</v>
      </c>
      <c r="O116" s="109" t="s">
        <v>247</v>
      </c>
    </row>
    <row r="117" spans="1:15" x14ac:dyDescent="0.3">
      <c r="A117" s="97" t="s">
        <v>521</v>
      </c>
      <c r="B117" s="91">
        <v>350</v>
      </c>
      <c r="C117" s="97" t="s">
        <v>543</v>
      </c>
      <c r="D117" s="97"/>
      <c r="E117" s="92">
        <v>410</v>
      </c>
      <c r="F117" s="97"/>
      <c r="G117" s="97"/>
      <c r="H117" s="92">
        <v>470</v>
      </c>
      <c r="I117" s="97"/>
      <c r="J117" s="97" t="s">
        <v>147</v>
      </c>
      <c r="K117" s="92">
        <v>530</v>
      </c>
      <c r="L117" s="109" t="s">
        <v>169</v>
      </c>
      <c r="M117" s="97" t="s">
        <v>190</v>
      </c>
      <c r="N117" s="92">
        <v>590</v>
      </c>
      <c r="O117" s="97" t="s">
        <v>248</v>
      </c>
    </row>
    <row r="118" spans="1:15" x14ac:dyDescent="0.3">
      <c r="A118" s="97"/>
      <c r="B118" s="91">
        <v>351</v>
      </c>
      <c r="C118" s="97"/>
      <c r="D118" s="97"/>
      <c r="E118" s="92">
        <v>411</v>
      </c>
      <c r="F118" s="97"/>
      <c r="G118" s="97"/>
      <c r="H118" s="92">
        <v>471</v>
      </c>
      <c r="I118" s="97"/>
      <c r="J118" s="97" t="s">
        <v>147</v>
      </c>
      <c r="K118" s="92">
        <v>531</v>
      </c>
      <c r="L118" s="109" t="s">
        <v>163</v>
      </c>
      <c r="M118" s="97" t="s">
        <v>190</v>
      </c>
      <c r="N118" s="93">
        <v>591</v>
      </c>
      <c r="O118" s="97" t="s">
        <v>249</v>
      </c>
    </row>
    <row r="119" spans="1:15" x14ac:dyDescent="0.3">
      <c r="A119" s="97" t="s">
        <v>521</v>
      </c>
      <c r="B119" s="91">
        <v>352</v>
      </c>
      <c r="C119" s="97" t="s">
        <v>550</v>
      </c>
      <c r="D119" s="97" t="s">
        <v>190</v>
      </c>
      <c r="E119" s="92">
        <v>412</v>
      </c>
      <c r="F119" s="97" t="s">
        <v>240</v>
      </c>
      <c r="G119" s="97"/>
      <c r="H119" s="92">
        <v>472</v>
      </c>
      <c r="I119" s="97"/>
      <c r="J119" s="97" t="s">
        <v>147</v>
      </c>
      <c r="K119" s="92">
        <v>532</v>
      </c>
      <c r="L119" s="109" t="s">
        <v>164</v>
      </c>
      <c r="M119" s="97"/>
      <c r="N119" s="92">
        <v>592</v>
      </c>
      <c r="O119" s="97"/>
    </row>
    <row r="120" spans="1:15" x14ac:dyDescent="0.3">
      <c r="A120" s="97" t="s">
        <v>190</v>
      </c>
      <c r="B120" s="91">
        <v>353</v>
      </c>
      <c r="C120" s="97" t="s">
        <v>191</v>
      </c>
      <c r="D120" s="97"/>
      <c r="E120" s="92">
        <v>413</v>
      </c>
      <c r="F120" s="97"/>
      <c r="G120" s="97" t="s">
        <v>296</v>
      </c>
      <c r="H120" s="92">
        <v>473</v>
      </c>
      <c r="I120" s="97" t="s">
        <v>297</v>
      </c>
      <c r="J120" s="97" t="s">
        <v>147</v>
      </c>
      <c r="K120" s="92">
        <v>533</v>
      </c>
      <c r="L120" s="109" t="s">
        <v>159</v>
      </c>
      <c r="M120" s="97" t="s">
        <v>190</v>
      </c>
      <c r="N120" s="93">
        <v>593</v>
      </c>
      <c r="O120" s="97" t="s">
        <v>250</v>
      </c>
    </row>
    <row r="121" spans="1:15" x14ac:dyDescent="0.3">
      <c r="A121" s="97" t="s">
        <v>190</v>
      </c>
      <c r="B121" s="91">
        <v>354</v>
      </c>
      <c r="C121" s="97" t="s">
        <v>192</v>
      </c>
      <c r="D121" s="97"/>
      <c r="E121" s="92">
        <v>414</v>
      </c>
      <c r="F121" s="97"/>
      <c r="G121" s="97" t="s">
        <v>296</v>
      </c>
      <c r="H121" s="92">
        <v>474</v>
      </c>
      <c r="I121" s="97" t="s">
        <v>302</v>
      </c>
      <c r="J121" s="97" t="s">
        <v>147</v>
      </c>
      <c r="K121" s="92">
        <v>534</v>
      </c>
      <c r="L121" s="109" t="s">
        <v>158</v>
      </c>
      <c r="M121" s="97" t="s">
        <v>190</v>
      </c>
      <c r="N121" s="92">
        <v>594</v>
      </c>
      <c r="O121" s="97" t="s">
        <v>216</v>
      </c>
    </row>
    <row r="122" spans="1:15" x14ac:dyDescent="0.3">
      <c r="A122" s="97"/>
      <c r="B122" s="91">
        <v>355</v>
      </c>
      <c r="C122" s="97"/>
      <c r="D122" s="97"/>
      <c r="E122" s="92">
        <v>415</v>
      </c>
      <c r="F122" s="97"/>
      <c r="G122" s="97" t="s">
        <v>296</v>
      </c>
      <c r="H122" s="92">
        <v>475</v>
      </c>
      <c r="I122" s="97" t="s">
        <v>303</v>
      </c>
      <c r="J122" s="97" t="s">
        <v>147</v>
      </c>
      <c r="K122" s="92">
        <v>535</v>
      </c>
      <c r="L122" s="109" t="s">
        <v>149</v>
      </c>
      <c r="M122" s="97" t="s">
        <v>190</v>
      </c>
      <c r="N122" s="93">
        <v>595</v>
      </c>
      <c r="O122" s="97" t="s">
        <v>214</v>
      </c>
    </row>
    <row r="123" spans="1:15" x14ac:dyDescent="0.3">
      <c r="A123" s="97" t="s">
        <v>190</v>
      </c>
      <c r="B123" s="91">
        <v>356</v>
      </c>
      <c r="C123" s="97" t="s">
        <v>193</v>
      </c>
      <c r="D123" s="97"/>
      <c r="E123" s="92">
        <v>416</v>
      </c>
      <c r="F123" s="97"/>
      <c r="G123" s="97" t="s">
        <v>296</v>
      </c>
      <c r="H123" s="92">
        <v>476</v>
      </c>
      <c r="I123" s="97" t="s">
        <v>301</v>
      </c>
      <c r="J123" s="97" t="s">
        <v>147</v>
      </c>
      <c r="K123" s="92">
        <v>536</v>
      </c>
      <c r="L123" s="109" t="s">
        <v>150</v>
      </c>
      <c r="M123" s="97" t="s">
        <v>190</v>
      </c>
      <c r="N123" s="92">
        <v>596</v>
      </c>
      <c r="O123" s="97" t="s">
        <v>263</v>
      </c>
    </row>
    <row r="124" spans="1:15" x14ac:dyDescent="0.3">
      <c r="A124" s="97" t="s">
        <v>190</v>
      </c>
      <c r="B124" s="91">
        <v>357</v>
      </c>
      <c r="C124" s="97" t="s">
        <v>194</v>
      </c>
      <c r="D124" s="97" t="s">
        <v>190</v>
      </c>
      <c r="E124" s="92">
        <v>417</v>
      </c>
      <c r="F124" s="97" t="s">
        <v>241</v>
      </c>
      <c r="G124" s="97" t="s">
        <v>296</v>
      </c>
      <c r="H124" s="92">
        <v>477</v>
      </c>
      <c r="I124" s="97" t="s">
        <v>300</v>
      </c>
      <c r="J124" s="97" t="s">
        <v>147</v>
      </c>
      <c r="K124" s="92">
        <v>537</v>
      </c>
      <c r="L124" s="109" t="s">
        <v>171</v>
      </c>
      <c r="M124" s="97" t="s">
        <v>190</v>
      </c>
      <c r="N124" s="93">
        <v>597</v>
      </c>
      <c r="O124" s="97" t="s">
        <v>261</v>
      </c>
    </row>
    <row r="125" spans="1:15" x14ac:dyDescent="0.3">
      <c r="A125" s="97" t="s">
        <v>190</v>
      </c>
      <c r="B125" s="91">
        <v>358</v>
      </c>
      <c r="C125" s="97" t="s">
        <v>196</v>
      </c>
      <c r="D125" s="97"/>
      <c r="E125" s="92">
        <v>418</v>
      </c>
      <c r="F125" s="97"/>
      <c r="G125" s="97" t="s">
        <v>296</v>
      </c>
      <c r="H125" s="92">
        <v>478</v>
      </c>
      <c r="I125" s="97" t="s">
        <v>299</v>
      </c>
      <c r="J125" s="96" t="s">
        <v>304</v>
      </c>
      <c r="K125" s="92">
        <v>538</v>
      </c>
      <c r="L125" s="109" t="s">
        <v>309</v>
      </c>
      <c r="M125" s="97" t="s">
        <v>190</v>
      </c>
      <c r="N125" s="92">
        <v>598</v>
      </c>
      <c r="O125" s="97" t="s">
        <v>263</v>
      </c>
    </row>
    <row r="126" spans="1:15" x14ac:dyDescent="0.3">
      <c r="A126" s="97" t="s">
        <v>190</v>
      </c>
      <c r="B126" s="91">
        <v>359</v>
      </c>
      <c r="C126" s="97" t="s">
        <v>197</v>
      </c>
      <c r="D126" s="97" t="s">
        <v>190</v>
      </c>
      <c r="E126" s="92">
        <v>419</v>
      </c>
      <c r="F126" s="97" t="s">
        <v>238</v>
      </c>
      <c r="G126" s="97" t="s">
        <v>296</v>
      </c>
      <c r="H126" s="92">
        <v>479</v>
      </c>
      <c r="I126" s="97" t="s">
        <v>299</v>
      </c>
      <c r="J126" s="97" t="s">
        <v>304</v>
      </c>
      <c r="K126" s="92">
        <v>539</v>
      </c>
      <c r="L126" s="109" t="s">
        <v>347</v>
      </c>
      <c r="M126" s="97" t="s">
        <v>190</v>
      </c>
      <c r="N126" s="93">
        <v>599</v>
      </c>
      <c r="O126" s="97" t="s">
        <v>263</v>
      </c>
    </row>
    <row r="127" spans="1:15" x14ac:dyDescent="0.3">
      <c r="A127" s="97" t="s">
        <v>190</v>
      </c>
      <c r="B127" s="91">
        <v>360</v>
      </c>
      <c r="C127" s="97" t="s">
        <v>198</v>
      </c>
      <c r="D127" s="97" t="s">
        <v>190</v>
      </c>
      <c r="E127" s="92">
        <v>420</v>
      </c>
      <c r="F127" s="97" t="s">
        <v>236</v>
      </c>
      <c r="G127" s="97" t="s">
        <v>296</v>
      </c>
      <c r="H127" s="92">
        <v>480</v>
      </c>
      <c r="I127" s="97" t="s">
        <v>298</v>
      </c>
      <c r="J127" s="97" t="s">
        <v>304</v>
      </c>
      <c r="K127" s="92">
        <v>540</v>
      </c>
      <c r="L127" s="109" t="s">
        <v>340</v>
      </c>
      <c r="M127" s="97" t="s">
        <v>190</v>
      </c>
      <c r="N127" s="92">
        <v>600</v>
      </c>
      <c r="O127" s="97" t="s">
        <v>260</v>
      </c>
    </row>
    <row r="128" spans="1:15" x14ac:dyDescent="0.3">
      <c r="B128" s="87"/>
      <c r="E128" s="88"/>
      <c r="H128" s="88"/>
      <c r="K128" s="89"/>
    </row>
    <row r="129" spans="1:15" ht="22.8" x14ac:dyDescent="0.3">
      <c r="A129" s="166" t="s">
        <v>47</v>
      </c>
      <c r="B129" s="166"/>
      <c r="C129" s="166"/>
      <c r="D129" s="166"/>
      <c r="E129" s="166"/>
      <c r="F129" s="166"/>
      <c r="G129" s="166"/>
      <c r="H129" s="166"/>
      <c r="I129" s="166"/>
      <c r="J129" s="100" t="s">
        <v>76</v>
      </c>
      <c r="K129" s="79"/>
      <c r="L129" s="159" t="s">
        <v>72</v>
      </c>
      <c r="M129" s="159"/>
      <c r="N129" s="159"/>
      <c r="O129" s="159"/>
    </row>
    <row r="130" spans="1:15" x14ac:dyDescent="0.3">
      <c r="A130" s="94"/>
      <c r="B130" s="10"/>
      <c r="C130" s="94"/>
      <c r="D130" s="94"/>
      <c r="E130" s="10"/>
      <c r="F130" s="94"/>
      <c r="G130" s="94"/>
      <c r="H130" s="10"/>
      <c r="I130" s="94"/>
      <c r="J130" s="94"/>
      <c r="K130" s="10"/>
      <c r="L130" s="104"/>
      <c r="M130" s="104"/>
      <c r="N130" s="67"/>
      <c r="O130" s="94"/>
    </row>
    <row r="131" spans="1:15" x14ac:dyDescent="0.3">
      <c r="A131" s="95" t="s">
        <v>61</v>
      </c>
      <c r="B131" s="90" t="s">
        <v>73</v>
      </c>
      <c r="C131" s="95" t="s">
        <v>71</v>
      </c>
      <c r="D131" s="95" t="s">
        <v>61</v>
      </c>
      <c r="E131" s="90" t="s">
        <v>73</v>
      </c>
      <c r="F131" s="95" t="s">
        <v>71</v>
      </c>
      <c r="G131" s="95" t="s">
        <v>61</v>
      </c>
      <c r="H131" s="90" t="s">
        <v>73</v>
      </c>
      <c r="I131" s="95" t="s">
        <v>71</v>
      </c>
      <c r="J131" s="95" t="s">
        <v>61</v>
      </c>
      <c r="K131" s="90" t="s">
        <v>73</v>
      </c>
      <c r="L131" s="95" t="s">
        <v>71</v>
      </c>
      <c r="M131" s="95" t="s">
        <v>61</v>
      </c>
      <c r="N131" s="90" t="s">
        <v>73</v>
      </c>
      <c r="O131" s="95" t="s">
        <v>71</v>
      </c>
    </row>
    <row r="132" spans="1:15" x14ac:dyDescent="0.3">
      <c r="A132" s="96" t="s">
        <v>223</v>
      </c>
      <c r="B132" s="91">
        <v>601</v>
      </c>
      <c r="C132" s="97" t="s">
        <v>259</v>
      </c>
      <c r="D132" s="97"/>
      <c r="E132" s="92"/>
      <c r="F132" s="97"/>
      <c r="G132" s="97"/>
      <c r="H132" s="92"/>
      <c r="I132" s="97"/>
      <c r="J132" s="97"/>
      <c r="K132" s="92"/>
      <c r="L132" s="109"/>
      <c r="M132" s="97"/>
      <c r="N132" s="93"/>
      <c r="O132" s="109"/>
    </row>
    <row r="133" spans="1:15" x14ac:dyDescent="0.3">
      <c r="A133" s="97" t="s">
        <v>223</v>
      </c>
      <c r="B133" s="91">
        <v>602</v>
      </c>
      <c r="C133" s="97" t="s">
        <v>252</v>
      </c>
      <c r="D133" s="97"/>
      <c r="E133" s="92"/>
      <c r="F133" s="97"/>
      <c r="G133" s="97"/>
      <c r="H133" s="92"/>
      <c r="I133" s="97"/>
      <c r="J133" s="97"/>
      <c r="K133" s="92"/>
      <c r="L133" s="109"/>
      <c r="M133" s="97"/>
      <c r="N133" s="92"/>
      <c r="O133" s="109"/>
    </row>
    <row r="134" spans="1:15" x14ac:dyDescent="0.3">
      <c r="A134" s="97" t="s">
        <v>223</v>
      </c>
      <c r="B134" s="91">
        <v>603</v>
      </c>
      <c r="C134" s="97" t="s">
        <v>251</v>
      </c>
      <c r="D134" s="97"/>
      <c r="E134" s="92"/>
      <c r="F134" s="97"/>
      <c r="G134" s="97"/>
      <c r="H134" s="92"/>
      <c r="I134" s="97"/>
      <c r="J134" s="97"/>
      <c r="K134" s="92"/>
      <c r="L134" s="109"/>
      <c r="M134" s="97"/>
      <c r="N134" s="93"/>
      <c r="O134" s="109"/>
    </row>
    <row r="135" spans="1:15" x14ac:dyDescent="0.3">
      <c r="A135" s="97" t="s">
        <v>223</v>
      </c>
      <c r="B135" s="91">
        <v>604</v>
      </c>
      <c r="C135" s="97" t="s">
        <v>253</v>
      </c>
      <c r="D135" s="97"/>
      <c r="E135" s="92"/>
      <c r="F135" s="97"/>
      <c r="G135" s="97"/>
      <c r="H135" s="92"/>
      <c r="I135" s="97"/>
      <c r="J135" s="97"/>
      <c r="K135" s="92"/>
      <c r="L135" s="109"/>
      <c r="M135" s="97"/>
      <c r="N135" s="92"/>
      <c r="O135" s="109"/>
    </row>
    <row r="136" spans="1:15" x14ac:dyDescent="0.3">
      <c r="A136" s="97" t="s">
        <v>223</v>
      </c>
      <c r="B136" s="91">
        <v>605</v>
      </c>
      <c r="C136" s="97" t="s">
        <v>255</v>
      </c>
      <c r="D136" s="97"/>
      <c r="E136" s="92"/>
      <c r="F136" s="97"/>
      <c r="G136" s="97"/>
      <c r="H136" s="92"/>
      <c r="I136" s="97"/>
      <c r="J136" s="97"/>
      <c r="K136" s="92"/>
      <c r="L136" s="109"/>
      <c r="M136" s="97"/>
      <c r="N136" s="93"/>
      <c r="O136" s="109"/>
    </row>
    <row r="137" spans="1:15" x14ac:dyDescent="0.3">
      <c r="A137" s="97"/>
      <c r="B137" s="91">
        <v>606</v>
      </c>
      <c r="C137" s="97"/>
      <c r="D137" s="97"/>
      <c r="E137" s="92"/>
      <c r="F137" s="97"/>
      <c r="G137" s="97"/>
      <c r="H137" s="92"/>
      <c r="I137" s="97"/>
      <c r="J137" s="97"/>
      <c r="K137" s="92"/>
      <c r="L137" s="109"/>
      <c r="M137" s="97"/>
      <c r="N137" s="92"/>
      <c r="O137" s="109"/>
    </row>
    <row r="138" spans="1:15" x14ac:dyDescent="0.3">
      <c r="A138" s="97" t="s">
        <v>223</v>
      </c>
      <c r="B138" s="91">
        <v>607</v>
      </c>
      <c r="C138" s="97" t="s">
        <v>225</v>
      </c>
      <c r="D138" s="97"/>
      <c r="E138" s="92"/>
      <c r="F138" s="97"/>
      <c r="G138" s="97"/>
      <c r="H138" s="92"/>
      <c r="I138" s="97"/>
      <c r="J138" s="97"/>
      <c r="K138" s="92"/>
      <c r="L138" s="109"/>
      <c r="M138" s="97"/>
      <c r="N138" s="93"/>
      <c r="O138" s="109"/>
    </row>
    <row r="139" spans="1:15" x14ac:dyDescent="0.3">
      <c r="A139" s="97" t="s">
        <v>223</v>
      </c>
      <c r="B139" s="91">
        <v>608</v>
      </c>
      <c r="C139" s="97" t="s">
        <v>224</v>
      </c>
      <c r="D139" s="97"/>
      <c r="E139" s="92"/>
      <c r="F139" s="97"/>
      <c r="G139" s="97"/>
      <c r="H139" s="92"/>
      <c r="I139" s="97"/>
      <c r="J139" s="97"/>
      <c r="K139" s="92"/>
      <c r="L139" s="109"/>
      <c r="M139" s="97"/>
      <c r="N139" s="92"/>
      <c r="O139" s="109"/>
    </row>
    <row r="140" spans="1:15" x14ac:dyDescent="0.3">
      <c r="A140" s="97" t="s">
        <v>223</v>
      </c>
      <c r="B140" s="91">
        <v>609</v>
      </c>
      <c r="C140" s="97" t="s">
        <v>227</v>
      </c>
      <c r="D140" s="97"/>
      <c r="E140" s="92"/>
      <c r="F140" s="97"/>
      <c r="G140" s="97"/>
      <c r="H140" s="92"/>
      <c r="I140" s="97"/>
      <c r="J140" s="97"/>
      <c r="K140" s="92"/>
      <c r="L140" s="109"/>
      <c r="M140" s="97"/>
      <c r="N140" s="93"/>
      <c r="O140" s="109"/>
    </row>
    <row r="141" spans="1:15" x14ac:dyDescent="0.3">
      <c r="A141" s="97" t="s">
        <v>223</v>
      </c>
      <c r="B141" s="91">
        <v>610</v>
      </c>
      <c r="C141" s="97" t="s">
        <v>226</v>
      </c>
      <c r="D141" s="97"/>
      <c r="E141" s="92"/>
      <c r="F141" s="97"/>
      <c r="G141" s="97"/>
      <c r="H141" s="92"/>
      <c r="I141" s="97"/>
      <c r="J141" s="97"/>
      <c r="K141" s="92"/>
      <c r="L141" s="109"/>
      <c r="M141" s="97"/>
      <c r="N141" s="92"/>
      <c r="O141" s="109"/>
    </row>
    <row r="142" spans="1:15" x14ac:dyDescent="0.3">
      <c r="A142" s="97" t="s">
        <v>223</v>
      </c>
      <c r="B142" s="91">
        <v>611</v>
      </c>
      <c r="C142" s="97" t="s">
        <v>245</v>
      </c>
      <c r="D142" s="97"/>
      <c r="E142" s="92"/>
      <c r="F142" s="97"/>
      <c r="G142" s="97"/>
      <c r="H142" s="92"/>
      <c r="I142" s="97"/>
      <c r="J142" s="97"/>
      <c r="K142" s="92"/>
      <c r="L142" s="109"/>
      <c r="M142" s="97"/>
      <c r="N142" s="93"/>
      <c r="O142" s="109"/>
    </row>
    <row r="143" spans="1:15" x14ac:dyDescent="0.3">
      <c r="A143" s="97" t="s">
        <v>223</v>
      </c>
      <c r="B143" s="91">
        <v>612</v>
      </c>
      <c r="C143" s="97" t="s">
        <v>254</v>
      </c>
      <c r="D143" s="97"/>
      <c r="E143" s="92"/>
      <c r="F143" s="97"/>
      <c r="G143" s="97"/>
      <c r="H143" s="92"/>
      <c r="I143" s="97"/>
      <c r="J143" s="97"/>
      <c r="K143" s="92"/>
      <c r="L143" s="109"/>
      <c r="M143" s="97"/>
      <c r="N143" s="92"/>
      <c r="O143" s="109"/>
    </row>
    <row r="144" spans="1:15" x14ac:dyDescent="0.3">
      <c r="A144" s="97"/>
      <c r="B144" s="91">
        <v>613</v>
      </c>
      <c r="C144" s="97"/>
      <c r="D144" s="97"/>
      <c r="E144" s="92"/>
      <c r="F144" s="97"/>
      <c r="G144" s="97"/>
      <c r="H144" s="92"/>
      <c r="I144" s="97"/>
      <c r="J144" s="97"/>
      <c r="K144" s="92"/>
      <c r="L144" s="109"/>
      <c r="M144" s="97"/>
      <c r="N144" s="93"/>
      <c r="O144" s="109"/>
    </row>
    <row r="145" spans="1:15" x14ac:dyDescent="0.3">
      <c r="A145" s="97"/>
      <c r="B145" s="91">
        <v>614</v>
      </c>
      <c r="C145" s="97"/>
      <c r="D145" s="97"/>
      <c r="E145" s="92"/>
      <c r="F145" s="97"/>
      <c r="G145" s="97"/>
      <c r="H145" s="92"/>
      <c r="I145" s="97"/>
      <c r="J145" s="97"/>
      <c r="K145" s="92"/>
      <c r="L145" s="109"/>
      <c r="M145" s="97"/>
      <c r="N145" s="92"/>
      <c r="O145" s="109"/>
    </row>
    <row r="146" spans="1:15" x14ac:dyDescent="0.3">
      <c r="A146" s="97"/>
      <c r="B146" s="91">
        <v>615</v>
      </c>
      <c r="C146" s="97"/>
      <c r="D146" s="97"/>
      <c r="E146" s="92"/>
      <c r="F146" s="97"/>
      <c r="G146" s="97"/>
      <c r="H146" s="92"/>
      <c r="I146" s="97"/>
      <c r="J146" s="97"/>
      <c r="K146" s="92"/>
      <c r="L146" s="109"/>
      <c r="M146" s="97"/>
      <c r="N146" s="93"/>
      <c r="O146" s="109"/>
    </row>
    <row r="147" spans="1:15" x14ac:dyDescent="0.3">
      <c r="A147" s="97"/>
      <c r="B147" s="91">
        <v>616</v>
      </c>
      <c r="C147" s="97"/>
      <c r="D147" s="97"/>
      <c r="E147" s="92"/>
      <c r="F147" s="97"/>
      <c r="G147" s="97"/>
      <c r="H147" s="92"/>
      <c r="I147" s="97"/>
      <c r="J147" s="97"/>
      <c r="K147" s="92"/>
      <c r="L147" s="111"/>
      <c r="M147" s="97"/>
      <c r="N147" s="92"/>
      <c r="O147" s="109"/>
    </row>
    <row r="148" spans="1:15" x14ac:dyDescent="0.3">
      <c r="A148" s="97"/>
      <c r="B148" s="91">
        <v>617</v>
      </c>
      <c r="C148" s="97"/>
      <c r="D148" s="97"/>
      <c r="E148" s="92"/>
      <c r="F148" s="97"/>
      <c r="G148" s="97"/>
      <c r="H148" s="92"/>
      <c r="I148" s="97"/>
      <c r="J148" s="97"/>
      <c r="K148" s="92"/>
      <c r="L148" s="109"/>
      <c r="M148" s="97"/>
      <c r="N148" s="93"/>
      <c r="O148" s="109"/>
    </row>
    <row r="149" spans="1:15" x14ac:dyDescent="0.3">
      <c r="A149" s="97"/>
      <c r="B149" s="91">
        <v>618</v>
      </c>
      <c r="C149" s="97"/>
      <c r="D149" s="97"/>
      <c r="E149" s="92"/>
      <c r="F149" s="97"/>
      <c r="G149" s="97"/>
      <c r="H149" s="92"/>
      <c r="I149" s="97"/>
      <c r="J149" s="97"/>
      <c r="K149" s="92"/>
      <c r="L149" s="109"/>
      <c r="M149" s="97"/>
      <c r="N149" s="92"/>
      <c r="O149" s="109"/>
    </row>
    <row r="150" spans="1:15" x14ac:dyDescent="0.3">
      <c r="A150" s="97"/>
      <c r="B150" s="91">
        <v>619</v>
      </c>
      <c r="C150" s="97"/>
      <c r="D150" s="97"/>
      <c r="E150" s="92"/>
      <c r="F150" s="97"/>
      <c r="G150" s="97"/>
      <c r="H150" s="92"/>
      <c r="I150" s="97"/>
      <c r="J150" s="97"/>
      <c r="K150" s="92"/>
      <c r="L150" s="109"/>
      <c r="M150" s="97"/>
      <c r="N150" s="93"/>
      <c r="O150" s="109"/>
    </row>
    <row r="151" spans="1:15" x14ac:dyDescent="0.3">
      <c r="A151" s="97"/>
      <c r="B151" s="91">
        <v>620</v>
      </c>
      <c r="C151" s="97"/>
      <c r="D151" s="97"/>
      <c r="E151" s="92"/>
      <c r="F151" s="97"/>
      <c r="G151" s="97"/>
      <c r="H151" s="92"/>
      <c r="I151" s="97"/>
      <c r="J151" s="97"/>
      <c r="K151" s="92"/>
      <c r="L151" s="109"/>
      <c r="M151" s="97"/>
      <c r="N151" s="92"/>
      <c r="O151" s="109"/>
    </row>
    <row r="152" spans="1:15" x14ac:dyDescent="0.3">
      <c r="A152" s="97"/>
      <c r="B152" s="91">
        <v>621</v>
      </c>
      <c r="C152" s="97"/>
      <c r="D152" s="97"/>
      <c r="E152" s="92"/>
      <c r="F152" s="97"/>
      <c r="G152" s="97"/>
      <c r="H152" s="92"/>
      <c r="I152" s="97"/>
      <c r="J152" s="97"/>
      <c r="K152" s="92"/>
      <c r="L152" s="109"/>
      <c r="M152" s="97"/>
      <c r="N152" s="93"/>
      <c r="O152" s="109"/>
    </row>
    <row r="153" spans="1:15" x14ac:dyDescent="0.3">
      <c r="A153" s="97"/>
      <c r="B153" s="91">
        <v>622</v>
      </c>
      <c r="C153" s="97"/>
      <c r="D153" s="97"/>
      <c r="E153" s="92"/>
      <c r="F153" s="97"/>
      <c r="G153" s="97"/>
      <c r="H153" s="92"/>
      <c r="I153" s="97"/>
      <c r="J153" s="97"/>
      <c r="K153" s="92"/>
      <c r="L153" s="109"/>
      <c r="M153" s="97"/>
      <c r="N153" s="92"/>
      <c r="O153" s="109"/>
    </row>
    <row r="154" spans="1:15" x14ac:dyDescent="0.3">
      <c r="A154" s="97" t="s">
        <v>223</v>
      </c>
      <c r="B154" s="91">
        <v>623</v>
      </c>
      <c r="C154" s="97" t="s">
        <v>229</v>
      </c>
      <c r="D154" s="97"/>
      <c r="E154" s="92"/>
      <c r="F154" s="97"/>
      <c r="G154" s="97"/>
      <c r="H154" s="92"/>
      <c r="I154" s="97"/>
      <c r="J154" s="97"/>
      <c r="K154" s="92"/>
      <c r="L154" s="109"/>
      <c r="M154" s="97"/>
      <c r="N154" s="93"/>
      <c r="O154" s="109"/>
    </row>
    <row r="155" spans="1:15" x14ac:dyDescent="0.3">
      <c r="A155" s="97" t="s">
        <v>223</v>
      </c>
      <c r="B155" s="91">
        <v>624</v>
      </c>
      <c r="C155" s="97" t="s">
        <v>231</v>
      </c>
      <c r="D155" s="97"/>
      <c r="E155" s="92"/>
      <c r="F155" s="97"/>
      <c r="G155" s="97"/>
      <c r="H155" s="92"/>
      <c r="I155" s="97"/>
      <c r="J155" s="97"/>
      <c r="K155" s="92"/>
      <c r="L155" s="109"/>
      <c r="M155" s="97"/>
      <c r="N155" s="92"/>
      <c r="O155" s="109"/>
    </row>
    <row r="156" spans="1:15" x14ac:dyDescent="0.3">
      <c r="A156" s="97" t="s">
        <v>223</v>
      </c>
      <c r="B156" s="91">
        <v>625</v>
      </c>
      <c r="C156" s="97" t="s">
        <v>239</v>
      </c>
      <c r="D156" s="97"/>
      <c r="E156" s="92"/>
      <c r="F156" s="97"/>
      <c r="G156" s="97"/>
      <c r="H156" s="92"/>
      <c r="I156" s="97"/>
      <c r="J156" s="97"/>
      <c r="K156" s="92"/>
      <c r="L156" s="109"/>
      <c r="M156" s="97"/>
      <c r="N156" s="93"/>
      <c r="O156" s="109"/>
    </row>
    <row r="157" spans="1:15" x14ac:dyDescent="0.3">
      <c r="A157" s="97" t="s">
        <v>223</v>
      </c>
      <c r="B157" s="91">
        <v>626</v>
      </c>
      <c r="C157" s="97" t="s">
        <v>237</v>
      </c>
      <c r="D157" s="97"/>
      <c r="E157" s="92"/>
      <c r="F157" s="97"/>
      <c r="G157" s="97"/>
      <c r="H157" s="92"/>
      <c r="I157" s="97"/>
      <c r="J157" s="97"/>
      <c r="K157" s="92"/>
      <c r="L157" s="109"/>
      <c r="M157" s="97"/>
      <c r="N157" s="92"/>
      <c r="O157" s="109"/>
    </row>
    <row r="158" spans="1:15" x14ac:dyDescent="0.3">
      <c r="A158" s="97" t="s">
        <v>223</v>
      </c>
      <c r="B158" s="91">
        <v>627</v>
      </c>
      <c r="C158" s="97" t="s">
        <v>234</v>
      </c>
      <c r="D158" s="97"/>
      <c r="E158" s="92"/>
      <c r="F158" s="97"/>
      <c r="G158" s="97"/>
      <c r="H158" s="92"/>
      <c r="I158" s="97"/>
      <c r="J158" s="97"/>
      <c r="K158" s="92"/>
      <c r="L158" s="109"/>
      <c r="M158" s="97"/>
      <c r="N158" s="93"/>
      <c r="O158" s="109"/>
    </row>
    <row r="159" spans="1:15" x14ac:dyDescent="0.3">
      <c r="A159" s="97" t="s">
        <v>223</v>
      </c>
      <c r="B159" s="91">
        <v>628</v>
      </c>
      <c r="C159" s="97" t="s">
        <v>235</v>
      </c>
      <c r="D159" s="97"/>
      <c r="E159" s="92"/>
      <c r="F159" s="97"/>
      <c r="G159" s="97"/>
      <c r="H159" s="92"/>
      <c r="I159" s="97"/>
      <c r="J159" s="97"/>
      <c r="K159" s="92"/>
      <c r="L159" s="109"/>
      <c r="M159" s="97"/>
      <c r="N159" s="92"/>
      <c r="O159" s="109"/>
    </row>
    <row r="160" spans="1:15" x14ac:dyDescent="0.3">
      <c r="A160" s="97" t="s">
        <v>223</v>
      </c>
      <c r="B160" s="91">
        <v>629</v>
      </c>
      <c r="C160" s="97" t="s">
        <v>232</v>
      </c>
      <c r="D160" s="97"/>
      <c r="E160" s="92"/>
      <c r="F160" s="97"/>
      <c r="G160" s="97"/>
      <c r="H160" s="92"/>
      <c r="I160" s="97"/>
      <c r="J160" s="97"/>
      <c r="K160" s="92"/>
      <c r="L160" s="109"/>
      <c r="M160" s="97"/>
      <c r="N160" s="93"/>
      <c r="O160" s="109"/>
    </row>
    <row r="161" spans="1:15" x14ac:dyDescent="0.3">
      <c r="A161" s="97" t="s">
        <v>223</v>
      </c>
      <c r="B161" s="91">
        <v>630</v>
      </c>
      <c r="C161" s="97" t="s">
        <v>279</v>
      </c>
      <c r="D161" s="97"/>
      <c r="E161" s="92"/>
      <c r="F161" s="97"/>
      <c r="G161" s="97"/>
      <c r="H161" s="92"/>
      <c r="I161" s="97"/>
      <c r="J161" s="97"/>
      <c r="K161" s="92"/>
      <c r="L161" s="109"/>
      <c r="M161" s="97"/>
      <c r="N161" s="92"/>
      <c r="O161" s="109"/>
    </row>
    <row r="162" spans="1:15" x14ac:dyDescent="0.3">
      <c r="A162" s="97"/>
      <c r="B162" s="91">
        <v>631</v>
      </c>
      <c r="C162" s="97"/>
      <c r="D162" s="97"/>
      <c r="E162" s="92"/>
      <c r="F162" s="97"/>
      <c r="G162" s="97"/>
      <c r="H162" s="92"/>
      <c r="I162" s="97"/>
      <c r="J162" s="97"/>
      <c r="K162" s="92"/>
      <c r="L162" s="109"/>
      <c r="M162" s="97"/>
      <c r="N162" s="93"/>
      <c r="O162" s="109"/>
    </row>
    <row r="163" spans="1:15" x14ac:dyDescent="0.3">
      <c r="A163" s="97"/>
      <c r="B163" s="91">
        <v>632</v>
      </c>
      <c r="C163" s="97"/>
      <c r="D163" s="97"/>
      <c r="E163" s="92"/>
      <c r="F163" s="97"/>
      <c r="G163" s="97"/>
      <c r="H163" s="92"/>
      <c r="I163" s="97"/>
      <c r="J163" s="97"/>
      <c r="K163" s="92"/>
      <c r="L163" s="109"/>
      <c r="M163" s="97"/>
      <c r="N163" s="92"/>
      <c r="O163" s="109"/>
    </row>
    <row r="164" spans="1:15" x14ac:dyDescent="0.3">
      <c r="A164" s="97"/>
      <c r="B164" s="91">
        <v>633</v>
      </c>
      <c r="C164" s="97"/>
      <c r="D164" s="97"/>
      <c r="E164" s="92"/>
      <c r="F164" s="97"/>
      <c r="G164" s="97"/>
      <c r="H164" s="92"/>
      <c r="I164" s="97"/>
      <c r="J164" s="97"/>
      <c r="K164" s="92"/>
      <c r="L164" s="109"/>
      <c r="M164" s="97"/>
      <c r="N164" s="93"/>
      <c r="O164" s="109"/>
    </row>
    <row r="165" spans="1:15" x14ac:dyDescent="0.3">
      <c r="A165" s="97"/>
      <c r="B165" s="91">
        <v>634</v>
      </c>
      <c r="C165" s="97"/>
      <c r="D165" s="97"/>
      <c r="E165" s="92"/>
      <c r="F165" s="97"/>
      <c r="G165" s="97"/>
      <c r="H165" s="92"/>
      <c r="I165" s="97"/>
      <c r="J165" s="97"/>
      <c r="K165" s="92"/>
      <c r="L165" s="109"/>
      <c r="M165" s="97"/>
      <c r="N165" s="92"/>
      <c r="O165" s="109"/>
    </row>
    <row r="166" spans="1:15" x14ac:dyDescent="0.3">
      <c r="A166" s="97"/>
      <c r="B166" s="91">
        <v>635</v>
      </c>
      <c r="C166" s="97"/>
      <c r="D166" s="97"/>
      <c r="E166" s="92"/>
      <c r="F166" s="97"/>
      <c r="G166" s="97"/>
      <c r="H166" s="92"/>
      <c r="I166" s="97"/>
      <c r="J166" s="97"/>
      <c r="K166" s="92"/>
      <c r="L166" s="109"/>
      <c r="M166" s="97"/>
      <c r="N166" s="93"/>
      <c r="O166" s="109"/>
    </row>
    <row r="167" spans="1:15" x14ac:dyDescent="0.3">
      <c r="A167" s="97"/>
      <c r="B167" s="91">
        <v>636</v>
      </c>
      <c r="C167" s="97"/>
      <c r="D167" s="97"/>
      <c r="E167" s="92"/>
      <c r="F167" s="97"/>
      <c r="G167" s="97"/>
      <c r="H167" s="92"/>
      <c r="I167" s="97"/>
      <c r="J167" s="97"/>
      <c r="K167" s="92"/>
      <c r="L167" s="109"/>
      <c r="M167" s="97"/>
      <c r="N167" s="92"/>
      <c r="O167" s="109"/>
    </row>
    <row r="168" spans="1:15" x14ac:dyDescent="0.3">
      <c r="A168" s="97"/>
      <c r="B168" s="91">
        <v>637</v>
      </c>
      <c r="C168" s="97"/>
      <c r="D168" s="97"/>
      <c r="E168" s="92"/>
      <c r="F168" s="97"/>
      <c r="G168" s="97"/>
      <c r="H168" s="92"/>
      <c r="I168" s="97"/>
      <c r="J168" s="97"/>
      <c r="K168" s="92"/>
      <c r="L168" s="109"/>
      <c r="M168" s="97"/>
      <c r="N168" s="93"/>
      <c r="O168" s="109"/>
    </row>
    <row r="169" spans="1:15" x14ac:dyDescent="0.3">
      <c r="A169" s="97"/>
      <c r="B169" s="91">
        <v>638</v>
      </c>
      <c r="C169" s="97"/>
      <c r="D169" s="97"/>
      <c r="E169" s="92"/>
      <c r="F169" s="97"/>
      <c r="G169" s="97"/>
      <c r="H169" s="92"/>
      <c r="I169" s="97"/>
      <c r="J169" s="97"/>
      <c r="K169" s="92"/>
      <c r="L169" s="109"/>
      <c r="M169" s="97"/>
      <c r="N169" s="92"/>
      <c r="O169" s="109"/>
    </row>
    <row r="170" spans="1:15" x14ac:dyDescent="0.3">
      <c r="A170" s="97"/>
      <c r="B170" s="91">
        <v>639</v>
      </c>
      <c r="C170" s="97"/>
      <c r="D170" s="97"/>
      <c r="E170" s="92"/>
      <c r="F170" s="97"/>
      <c r="G170" s="97"/>
      <c r="H170" s="92"/>
      <c r="I170" s="97"/>
      <c r="J170" s="97"/>
      <c r="K170" s="92"/>
      <c r="L170" s="109"/>
      <c r="M170" s="97"/>
      <c r="N170" s="93"/>
      <c r="O170" s="109"/>
    </row>
    <row r="171" spans="1:15" x14ac:dyDescent="0.3">
      <c r="A171" s="97"/>
      <c r="B171" s="91">
        <v>640</v>
      </c>
      <c r="C171" s="97"/>
      <c r="D171" s="97"/>
      <c r="E171" s="92"/>
      <c r="F171" s="97"/>
      <c r="G171" s="97"/>
      <c r="H171" s="92"/>
      <c r="I171" s="97"/>
      <c r="J171" s="97"/>
      <c r="K171" s="92"/>
      <c r="L171" s="109"/>
      <c r="M171" s="97"/>
      <c r="N171" s="92"/>
      <c r="O171" s="109"/>
    </row>
    <row r="172" spans="1:15" x14ac:dyDescent="0.3">
      <c r="A172" s="97"/>
      <c r="B172" s="91">
        <v>641</v>
      </c>
      <c r="C172" s="97"/>
      <c r="D172" s="97"/>
      <c r="E172" s="92"/>
      <c r="F172" s="97"/>
      <c r="G172" s="97"/>
      <c r="H172" s="92"/>
      <c r="I172" s="97"/>
      <c r="J172" s="97"/>
      <c r="K172" s="92"/>
      <c r="L172" s="109"/>
      <c r="M172" s="97"/>
      <c r="N172" s="93"/>
      <c r="O172" s="109"/>
    </row>
    <row r="173" spans="1:15" x14ac:dyDescent="0.3">
      <c r="A173" s="97"/>
      <c r="B173" s="91">
        <v>642</v>
      </c>
      <c r="C173" s="97"/>
      <c r="D173" s="97"/>
      <c r="E173" s="92"/>
      <c r="F173" s="97"/>
      <c r="G173" s="97"/>
      <c r="H173" s="92"/>
      <c r="I173" s="97"/>
      <c r="J173" s="97"/>
      <c r="K173" s="92"/>
      <c r="L173" s="109"/>
      <c r="M173" s="97"/>
      <c r="N173" s="92"/>
      <c r="O173" s="109"/>
    </row>
    <row r="174" spans="1:15" x14ac:dyDescent="0.3">
      <c r="A174" s="97"/>
      <c r="B174" s="91">
        <v>643</v>
      </c>
      <c r="C174" s="97"/>
      <c r="D174" s="97"/>
      <c r="E174" s="92"/>
      <c r="F174" s="97"/>
      <c r="G174" s="97"/>
      <c r="H174" s="92"/>
      <c r="I174" s="97"/>
      <c r="J174" s="97"/>
      <c r="K174" s="92"/>
      <c r="L174" s="109"/>
      <c r="M174" s="97"/>
      <c r="N174" s="93"/>
      <c r="O174" s="109"/>
    </row>
    <row r="175" spans="1:15" x14ac:dyDescent="0.3">
      <c r="A175" s="97"/>
      <c r="B175" s="91">
        <v>644</v>
      </c>
      <c r="C175" s="97"/>
      <c r="D175" s="97"/>
      <c r="E175" s="92"/>
      <c r="F175" s="97"/>
      <c r="G175" s="97"/>
      <c r="H175" s="92"/>
      <c r="I175" s="97"/>
      <c r="J175" s="97"/>
      <c r="K175" s="92"/>
      <c r="L175" s="109"/>
      <c r="M175" s="97"/>
      <c r="N175" s="92"/>
      <c r="O175" s="109"/>
    </row>
    <row r="176" spans="1:15" x14ac:dyDescent="0.3">
      <c r="A176" s="97"/>
      <c r="B176" s="91">
        <v>645</v>
      </c>
      <c r="C176" s="97"/>
      <c r="D176" s="97"/>
      <c r="E176" s="92"/>
      <c r="F176" s="97"/>
      <c r="G176" s="97"/>
      <c r="H176" s="92"/>
      <c r="I176" s="97"/>
      <c r="J176" s="97"/>
      <c r="K176" s="92"/>
      <c r="L176" s="109"/>
      <c r="M176" s="97"/>
      <c r="N176" s="93"/>
      <c r="O176" s="109"/>
    </row>
    <row r="177" spans="1:15" x14ac:dyDescent="0.3">
      <c r="A177" s="97"/>
      <c r="B177" s="91">
        <v>646</v>
      </c>
      <c r="C177" s="97"/>
      <c r="D177" s="97"/>
      <c r="E177" s="92"/>
      <c r="F177" s="97"/>
      <c r="G177" s="97"/>
      <c r="H177" s="92"/>
      <c r="I177" s="97"/>
      <c r="J177" s="97"/>
      <c r="K177" s="92"/>
      <c r="L177" s="109"/>
      <c r="M177" s="97"/>
      <c r="N177" s="92"/>
      <c r="O177" s="109"/>
    </row>
    <row r="178" spans="1:15" x14ac:dyDescent="0.3">
      <c r="A178" s="97"/>
      <c r="B178" s="91">
        <v>647</v>
      </c>
      <c r="C178" s="97"/>
      <c r="D178" s="97"/>
      <c r="E178" s="92"/>
      <c r="F178" s="97"/>
      <c r="G178" s="97"/>
      <c r="H178" s="92"/>
      <c r="I178" s="97"/>
      <c r="J178" s="97"/>
      <c r="K178" s="92"/>
      <c r="L178" s="109"/>
      <c r="M178" s="97"/>
      <c r="N178" s="93"/>
      <c r="O178" s="109"/>
    </row>
    <row r="179" spans="1:15" x14ac:dyDescent="0.3">
      <c r="A179" s="97"/>
      <c r="B179" s="91">
        <v>648</v>
      </c>
      <c r="C179" s="97"/>
      <c r="D179" s="97"/>
      <c r="E179" s="92"/>
      <c r="F179" s="97"/>
      <c r="G179" s="97"/>
      <c r="H179" s="92"/>
      <c r="I179" s="97"/>
      <c r="J179" s="97"/>
      <c r="K179" s="92"/>
      <c r="L179" s="109"/>
      <c r="M179" s="97"/>
      <c r="N179" s="92"/>
      <c r="O179" s="109"/>
    </row>
    <row r="180" spans="1:15" x14ac:dyDescent="0.3">
      <c r="A180" s="97"/>
      <c r="B180" s="91">
        <v>649</v>
      </c>
      <c r="C180" s="97"/>
      <c r="D180" s="97"/>
      <c r="E180" s="92"/>
      <c r="F180" s="97"/>
      <c r="G180" s="97"/>
      <c r="H180" s="92"/>
      <c r="I180" s="97"/>
      <c r="J180" s="97"/>
      <c r="K180" s="92"/>
      <c r="L180" s="109"/>
      <c r="M180" s="97"/>
      <c r="N180" s="93"/>
      <c r="O180" s="109"/>
    </row>
    <row r="181" spans="1:15" x14ac:dyDescent="0.3">
      <c r="A181" s="97"/>
      <c r="B181" s="91">
        <v>650</v>
      </c>
      <c r="C181" s="97"/>
      <c r="D181" s="97"/>
      <c r="E181" s="92"/>
      <c r="F181" s="97"/>
      <c r="G181" s="97"/>
      <c r="H181" s="92"/>
      <c r="I181" s="97"/>
      <c r="J181" s="97"/>
      <c r="K181" s="92"/>
      <c r="L181" s="109"/>
      <c r="M181" s="97"/>
      <c r="N181" s="92"/>
      <c r="O181" s="97"/>
    </row>
    <row r="182" spans="1:15" x14ac:dyDescent="0.3">
      <c r="A182" s="97"/>
      <c r="B182" s="91"/>
      <c r="C182" s="97"/>
      <c r="D182" s="97"/>
      <c r="E182" s="92"/>
      <c r="F182" s="97"/>
      <c r="G182" s="97"/>
      <c r="H182" s="92"/>
      <c r="I182" s="97"/>
      <c r="J182" s="97"/>
      <c r="K182" s="92"/>
      <c r="L182" s="109"/>
      <c r="M182" s="97"/>
      <c r="N182" s="93"/>
      <c r="O182" s="97"/>
    </row>
    <row r="183" spans="1:15" x14ac:dyDescent="0.3">
      <c r="A183" s="97"/>
      <c r="B183" s="91"/>
      <c r="C183" s="97"/>
      <c r="D183" s="97"/>
      <c r="E183" s="92"/>
      <c r="F183" s="97"/>
      <c r="G183" s="97"/>
      <c r="H183" s="92"/>
      <c r="I183" s="97"/>
      <c r="J183" s="97"/>
      <c r="K183" s="92"/>
      <c r="L183" s="109"/>
      <c r="M183" s="97"/>
      <c r="N183" s="92"/>
      <c r="O183" s="97"/>
    </row>
  </sheetData>
  <mergeCells count="6">
    <mergeCell ref="A1:I1"/>
    <mergeCell ref="L1:O1"/>
    <mergeCell ref="A65:I65"/>
    <mergeCell ref="L65:O65"/>
    <mergeCell ref="A129:I129"/>
    <mergeCell ref="L129:O129"/>
  </mergeCells>
  <pageMargins left="0.7" right="0.7" top="1.542" bottom="0.75" header="0.3" footer="0.3"/>
  <pageSetup paperSize="9" scale="45" fitToHeight="0" orientation="landscape" r:id="rId1"/>
  <headerFooter>
    <oddHeader>&amp;L&amp;"-,Bold"&amp;22TAX INVOICE&amp;10
&amp;9SITHEMBE TRANSPORTATION AND PROJECTS  &amp;"-,Regular"
VAT No: 4070272101  
285 Erasmus Ave  
Raslouw AH  
Centuiron  
0157  &amp;R&amp;G</oddHeader>
    <oddFooter>&amp;Laccounts@sithembe.co.za&amp;Cwww.sithembe.co.za&amp;R012 880 3155</oddFooter>
  </headerFooter>
  <rowBreaks count="2" manualBreakCount="2">
    <brk id="64" max="14" man="1"/>
    <brk id="128" max="14" man="1"/>
  </rowBreaks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889B8502A024479EA1CF80A2D6DF12" ma:contentTypeVersion="13" ma:contentTypeDescription="Create a new document." ma:contentTypeScope="" ma:versionID="06526292a1cdf05ddd28290d9d5cefc0">
  <xsd:schema xmlns:xsd="http://www.w3.org/2001/XMLSchema" xmlns:xs="http://www.w3.org/2001/XMLSchema" xmlns:p="http://schemas.microsoft.com/office/2006/metadata/properties" xmlns:ns2="f62d4ef4-b04a-4b31-a502-7b4d1ae74549" xmlns:ns3="3e1fb217-3513-4a84-b39a-87d8fab7c42d" targetNamespace="http://schemas.microsoft.com/office/2006/metadata/properties" ma:root="true" ma:fieldsID="7c328d9dc756338876b7a8b0925a4062" ns2:_="" ns3:_="">
    <xsd:import namespace="f62d4ef4-b04a-4b31-a502-7b4d1ae74549"/>
    <xsd:import namespace="3e1fb217-3513-4a84-b39a-87d8fab7c4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2d4ef4-b04a-4b31-a502-7b4d1ae745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84de842-58e0-4cec-8a9b-39016af931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fb217-3513-4a84-b39a-87d8fab7c42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0196097-f8ce-4c33-b49d-df6dd16643e2}" ma:internalName="TaxCatchAll" ma:showField="CatchAllData" ma:web="3e1fb217-3513-4a84-b39a-87d8fab7c4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2d4ef4-b04a-4b31-a502-7b4d1ae74549">
      <Terms xmlns="http://schemas.microsoft.com/office/infopath/2007/PartnerControls"/>
    </lcf76f155ced4ddcb4097134ff3c332f>
    <TaxCatchAll xmlns="3e1fb217-3513-4a84-b39a-87d8fab7c42d" xsi:nil="true"/>
  </documentManagement>
</p:properties>
</file>

<file path=customXml/itemProps1.xml><?xml version="1.0" encoding="utf-8"?>
<ds:datastoreItem xmlns:ds="http://schemas.openxmlformats.org/officeDocument/2006/customXml" ds:itemID="{EFA869A8-131E-451C-9FA4-2F16F62B1A5D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26784D25-4DC5-41F4-B290-495E06B10E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2d4ef4-b04a-4b31-a502-7b4d1ae74549"/>
    <ds:schemaRef ds:uri="3e1fb217-3513-4a84-b39a-87d8fab7c4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81FFD73-7B6A-451A-BCD1-22579B3AE30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7A508E1-F889-4FB4-81BC-717A64C59A25}">
  <ds:schemaRefs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f62d4ef4-b04a-4b31-a502-7b4d1ae74549"/>
    <ds:schemaRef ds:uri="http://purl.org/dc/terms/"/>
    <ds:schemaRef ds:uri="3e1fb217-3513-4a84-b39a-87d8fab7c42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Invoice — Region 2</vt:lpstr>
      <vt:lpstr>Service Notes</vt:lpstr>
      <vt:lpstr>Attendance Register</vt:lpstr>
      <vt:lpstr>EPWP Employees</vt:lpstr>
      <vt:lpstr>Toilet Co-ordinates</vt:lpstr>
      <vt:lpstr>'Attendance Register'!Print_Area</vt:lpstr>
      <vt:lpstr>'EPWP Employees'!Print_Area</vt:lpstr>
      <vt:lpstr>'Invoice — Region 2'!Print_Area</vt:lpstr>
      <vt:lpstr>'Service Notes'!Print_Area</vt:lpstr>
      <vt:lpstr>'Toilet Co-ordinates'!Print_Area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STP Tenders</dc:creator>
  <cp:keywords/>
  <dc:description/>
  <cp:lastModifiedBy>Sithembe Admin</cp:lastModifiedBy>
  <cp:revision/>
  <cp:lastPrinted>2026-03-30T12:49:01Z</cp:lastPrinted>
  <dcterms:created xsi:type="dcterms:W3CDTF">2015-06-05T18:17:20Z</dcterms:created>
  <dcterms:modified xsi:type="dcterms:W3CDTF">2026-05-20T07:17:46Z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0x0101004F889B8502A024479EA1CF80A2D6DF12</vt:lpwstr>
  </property>
  <property fmtid="{D5CDD505-2E9C-101B-9397-08002B2CF9AE}" pid="3" name="MediaServiceImageTags">
    <vt:lpwstr/>
  </property>
</Properties>
</file>