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7 July/03 - HS 02 2025-26/07 Adhoc Toilets/"/>
    </mc:Choice>
  </mc:AlternateContent>
  <xr:revisionPtr revIDLastSave="11" documentId="11_D7369C5A089D41036A6BCA5CAE287AE4DE12559C" xr6:coauthVersionLast="47" xr6:coauthVersionMax="47" xr10:uidLastSave="{6207AD55-C2C8-4B73-B890-9661BF8E98A7}"/>
  <bookViews>
    <workbookView xWindow="-120" yWindow="-120" windowWidth="29040" windowHeight="15720" tabRatio="500" xr2:uid="{00000000-000D-0000-FFFF-FFFF00000000}"/>
  </bookViews>
  <sheets>
    <sheet name="Quote" sheetId="1" r:id="rId1"/>
  </sheets>
  <definedNames>
    <definedName name="_xlnm.Print_Area" localSheetId="0">Quote!$A$1:$G$46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1" l="1"/>
  <c r="F22" i="1" s="1"/>
  <c r="F23" i="1" s="1"/>
  <c r="E28" i="1" s="1"/>
  <c r="G28" i="1" s="1"/>
  <c r="E26" i="1" l="1"/>
  <c r="G26" i="1" s="1"/>
  <c r="E27" i="1"/>
  <c r="G27" i="1" s="1"/>
  <c r="G30" i="1" l="1"/>
  <c r="G31" i="1" l="1"/>
  <c r="G32" i="1" s="1"/>
</calcChain>
</file>

<file path=xl/sharedStrings.xml><?xml version="1.0" encoding="utf-8"?>
<sst xmlns="http://schemas.openxmlformats.org/spreadsheetml/2006/main" count="59" uniqueCount="58">
  <si>
    <t>SITHEMBE TRANSPORTATION
AND PROJECTS (PTY) LTD</t>
  </si>
  <si>
    <t>QUOTATION</t>
  </si>
  <si>
    <t>3138B Crane Street, Thatchfield Hills Rau-Vista Ext 13, Centurion, 0152</t>
  </si>
  <si>
    <t>Reg No: 2013/029173/07   |   Tel: 012 880 3155   |   Cell: 073 124 1535</t>
  </si>
  <si>
    <t>Email: info@sithembe.co.za / muzi.lukhele@sithembe.co.za</t>
  </si>
  <si>
    <t>QUOTE TO</t>
  </si>
  <si>
    <t>QUOTE DETAILS</t>
  </si>
  <si>
    <t>City of Tshwane</t>
  </si>
  <si>
    <t>Quote No:</t>
  </si>
  <si>
    <t>SQ-HS02-2026-01</t>
  </si>
  <si>
    <t>Human Settlements Department</t>
  </si>
  <si>
    <t>Reference:</t>
  </si>
  <si>
    <t>HS 02 - 2025/26</t>
  </si>
  <si>
    <t>Attention: Ms. Nthabiseng Malada</t>
  </si>
  <si>
    <t>Date:</t>
  </si>
  <si>
    <t>2026-07-23</t>
  </si>
  <si>
    <t>Tel: 012 358 8672</t>
  </si>
  <si>
    <t>Valid Until:</t>
  </si>
  <si>
    <t>2026-08-22</t>
  </si>
  <si>
    <t>Email: nthabisengmal@tshwane.gov.za</t>
  </si>
  <si>
    <t>Project Period:</t>
  </si>
  <si>
    <t>6 Months (Jul-Dec 2026)</t>
  </si>
  <si>
    <t>RE: Hiring, Delivery and Servicing of Mobile Chemical Toilets - Number 2 Struben Homeless Shelter, 2 Struben Street, Marabastad</t>
  </si>
  <si>
    <t>CALCULATION BASIS</t>
  </si>
  <si>
    <t>Period Start Date:</t>
  </si>
  <si>
    <t>Total Days in Period:</t>
  </si>
  <si>
    <t>Period End Date:</t>
  </si>
  <si>
    <t>Total Weeks in Period:</t>
  </si>
  <si>
    <t>Services per Toilet / Week:</t>
  </si>
  <si>
    <t>Total Services per Toilet:</t>
  </si>
  <si>
    <t>#</t>
  </si>
  <si>
    <t>Description</t>
  </si>
  <si>
    <t>Qty
(Units)</t>
  </si>
  <si>
    <t>Unit of Measure</t>
  </si>
  <si>
    <t>Quantity
(Days/Svc)</t>
  </si>
  <si>
    <t>Rate Excl.
VAT (R)</t>
  </si>
  <si>
    <t>Total Excl.
VAT (R)</t>
  </si>
  <si>
    <t>Hire of chemical toilets (Non-Flushing Toilet) - standard units (10 Male section + 2 Female section)</t>
  </si>
  <si>
    <t>Price/day/unit</t>
  </si>
  <si>
    <t>Hire of chemical toilets (Non-Flushing Toilet) for People Living with Disability (1 Male section + 1 Female section)</t>
  </si>
  <si>
    <t>Maintenance/Service of chemical toilets - remove excreta to Wastewater Treatment Plant, clean seat, walls, floors, disinfect and refill sanitation chemical (all 14 toilets)</t>
  </si>
  <si>
    <t>Price/service/unit</t>
  </si>
  <si>
    <t>SUBTOTAL (Excl. VAT)</t>
  </si>
  <si>
    <t>VAT @ 15%</t>
  </si>
  <si>
    <t>TOTAL (Incl. VAT)</t>
  </si>
  <si>
    <t>BANKING DETAILS</t>
  </si>
  <si>
    <t>Account Holder:</t>
  </si>
  <si>
    <t>Sithembe Transportation and Projects (Pty) Ltd</t>
  </si>
  <si>
    <t>Bank:</t>
  </si>
  <si>
    <t>Nedbank Limited</t>
  </si>
  <si>
    <t>Account Number:</t>
  </si>
  <si>
    <t>1323687157</t>
  </si>
  <si>
    <t>Branch Code:</t>
  </si>
  <si>
    <t>198765</t>
  </si>
  <si>
    <t>Prepared by:</t>
  </si>
  <si>
    <t>Approved by (City of Tshwane):</t>
  </si>
  <si>
    <t>Mr. Muzi Vincent Lukhele, Director</t>
  </si>
  <si>
    <t>Ms. Nthabiseng Malada, Human Settlements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</si>
</sst>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[$-1C09]dd/mmmm/yyyy;@"/>
  </numFmts>
  <fonts count="12" x14ac:knownFonts="1">
    <font>
      <sz val="11"/>
      <color theme="1"/>
      <name val="Calibri"/>
      <family val="2"/>
      <charset val="1"/>
    </font>
    <font>
      <sz val="10"/>
      <color rgb="FF000000"/>
      <name val="Arial"/>
      <charset val="1"/>
    </font>
    <font>
      <b/>
      <sz val="18"/>
      <color rgb="FF002060"/>
      <name val="Arial"/>
      <charset val="1"/>
    </font>
    <font>
      <b/>
      <sz val="20"/>
      <color rgb="FF002060"/>
      <name val="Arial"/>
      <charset val="1"/>
    </font>
    <font>
      <sz val="11"/>
      <color rgb="FF595959"/>
      <name val="Arial"/>
      <charset val="1"/>
    </font>
    <font>
      <b/>
      <sz val="11"/>
      <color rgb="FFE8820C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b/>
      <sz val="12"/>
      <color rgb="FFFFFFFF"/>
      <name val="Arial"/>
      <charset val="1"/>
    </font>
    <font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2F2F2"/>
        <bgColor rgb="FFFFFFFF"/>
      </patternFill>
    </fill>
    <fill>
      <patternFill patternType="solid">
        <fgColor rgb="FFED7D31"/>
        <bgColor rgb="FFE8820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5" xfId="0" applyBorder="1"/>
    <xf numFmtId="0" fontId="10" fillId="4" borderId="3" xfId="0" applyFont="1" applyFill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2" borderId="0" xfId="0" applyFill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4" fontId="8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4" fontId="8" fillId="3" borderId="1" xfId="0" applyNumberFormat="1" applyFont="1" applyFill="1" applyBorder="1" applyAlignment="1">
      <alignment horizontal="right" vertical="center"/>
    </xf>
    <xf numFmtId="4" fontId="1" fillId="3" borderId="1" xfId="0" applyNumberFormat="1" applyFont="1" applyFill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4" fontId="10" fillId="4" borderId="4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166" fontId="8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820C"/>
      <rgbColor rgb="FFED7D31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showGridLines="0" tabSelected="1" topLeftCell="A16" zoomScaleNormal="100" workbookViewId="0">
      <selection activeCell="J33" sqref="J33"/>
    </sheetView>
  </sheetViews>
  <sheetFormatPr defaultColWidth="8.7109375" defaultRowHeight="15" x14ac:dyDescent="0.25"/>
  <cols>
    <col min="1" max="1" width="3" customWidth="1"/>
    <col min="2" max="2" width="40" customWidth="1"/>
    <col min="3" max="3" width="16.7109375" bestFit="1" customWidth="1"/>
    <col min="4" max="4" width="20" customWidth="1"/>
    <col min="5" max="6" width="13" customWidth="1"/>
    <col min="7" max="7" width="16" customWidth="1"/>
  </cols>
  <sheetData>
    <row r="1" spans="1:7" ht="6" customHeight="1" x14ac:dyDescent="0.25">
      <c r="A1" s="11"/>
      <c r="B1" s="11"/>
      <c r="C1" s="11"/>
      <c r="D1" s="11"/>
      <c r="E1" s="11"/>
      <c r="F1" s="11"/>
      <c r="G1" s="11"/>
    </row>
    <row r="2" spans="1:7" ht="19.5" customHeight="1" x14ac:dyDescent="0.25">
      <c r="B2" s="10" t="s">
        <v>0</v>
      </c>
      <c r="C2" s="10"/>
      <c r="D2" s="10"/>
      <c r="E2" s="10"/>
      <c r="F2" s="9" t="s">
        <v>1</v>
      </c>
      <c r="G2" s="9"/>
    </row>
    <row r="3" spans="1:7" ht="19.5" customHeight="1" x14ac:dyDescent="0.25">
      <c r="B3" s="10"/>
      <c r="C3" s="10"/>
      <c r="D3" s="10"/>
      <c r="E3" s="10"/>
      <c r="F3" s="9"/>
      <c r="G3" s="9"/>
    </row>
    <row r="4" spans="1:7" ht="19.5" customHeight="1" x14ac:dyDescent="0.25">
      <c r="B4" s="10"/>
      <c r="C4" s="10"/>
      <c r="D4" s="10"/>
      <c r="E4" s="10"/>
      <c r="F4" s="9"/>
      <c r="G4" s="9"/>
    </row>
    <row r="5" spans="1:7" x14ac:dyDescent="0.25">
      <c r="B5" s="8" t="s">
        <v>2</v>
      </c>
      <c r="C5" s="8"/>
      <c r="D5" s="8"/>
      <c r="E5" s="8"/>
    </row>
    <row r="6" spans="1:7" x14ac:dyDescent="0.25">
      <c r="B6" s="8" t="s">
        <v>3</v>
      </c>
      <c r="C6" s="8"/>
      <c r="D6" s="8"/>
      <c r="E6" s="8"/>
    </row>
    <row r="7" spans="1:7" x14ac:dyDescent="0.25">
      <c r="B7" s="8" t="s">
        <v>4</v>
      </c>
      <c r="C7" s="8"/>
      <c r="D7" s="8"/>
      <c r="E7" s="8"/>
    </row>
    <row r="9" spans="1:7" ht="3.75" customHeight="1" x14ac:dyDescent="0.25">
      <c r="A9" s="7"/>
      <c r="B9" s="7"/>
      <c r="C9" s="7"/>
      <c r="D9" s="7"/>
      <c r="E9" s="7"/>
      <c r="F9" s="7"/>
      <c r="G9" s="7"/>
    </row>
    <row r="11" spans="1:7" x14ac:dyDescent="0.25">
      <c r="B11" s="12" t="s">
        <v>5</v>
      </c>
      <c r="F11" s="12" t="s">
        <v>6</v>
      </c>
    </row>
    <row r="12" spans="1:7" x14ac:dyDescent="0.25">
      <c r="B12" s="6" t="s">
        <v>7</v>
      </c>
      <c r="C12" s="6"/>
      <c r="D12" s="6"/>
      <c r="F12" s="13" t="s">
        <v>8</v>
      </c>
      <c r="G12" s="14" t="s">
        <v>9</v>
      </c>
    </row>
    <row r="13" spans="1:7" x14ac:dyDescent="0.25">
      <c r="B13" s="11" t="s">
        <v>10</v>
      </c>
      <c r="C13" s="11"/>
      <c r="D13" s="11"/>
      <c r="F13" s="13" t="s">
        <v>11</v>
      </c>
      <c r="G13" s="14" t="s">
        <v>12</v>
      </c>
    </row>
    <row r="14" spans="1:7" x14ac:dyDescent="0.25">
      <c r="B14" s="11" t="s">
        <v>13</v>
      </c>
      <c r="C14" s="11"/>
      <c r="D14" s="11"/>
      <c r="F14" s="13" t="s">
        <v>14</v>
      </c>
      <c r="G14" s="15" t="s">
        <v>15</v>
      </c>
    </row>
    <row r="15" spans="1:7" x14ac:dyDescent="0.25">
      <c r="B15" s="11" t="s">
        <v>16</v>
      </c>
      <c r="C15" s="11"/>
      <c r="D15" s="11"/>
      <c r="F15" s="13" t="s">
        <v>17</v>
      </c>
      <c r="G15" s="15" t="s">
        <v>18</v>
      </c>
    </row>
    <row r="16" spans="1:7" x14ac:dyDescent="0.25">
      <c r="B16" s="11" t="s">
        <v>19</v>
      </c>
      <c r="C16" s="11"/>
      <c r="D16" s="11"/>
      <c r="F16" s="13" t="s">
        <v>20</v>
      </c>
      <c r="G16" s="14" t="s">
        <v>21</v>
      </c>
    </row>
    <row r="18" spans="1:7" ht="30" customHeight="1" x14ac:dyDescent="0.25">
      <c r="B18" s="5" t="s">
        <v>22</v>
      </c>
      <c r="C18" s="5"/>
      <c r="D18" s="5"/>
      <c r="E18" s="5"/>
      <c r="F18" s="5"/>
      <c r="G18" s="5"/>
    </row>
    <row r="20" spans="1:7" x14ac:dyDescent="0.25">
      <c r="B20" s="4" t="s">
        <v>23</v>
      </c>
      <c r="C20" s="4"/>
      <c r="D20" s="4"/>
      <c r="E20" s="4"/>
      <c r="F20" s="4"/>
      <c r="G20" s="4"/>
    </row>
    <row r="21" spans="1:7" ht="15.75" customHeight="1" x14ac:dyDescent="0.25">
      <c r="B21" s="16" t="s">
        <v>24</v>
      </c>
      <c r="C21" s="35">
        <v>46204</v>
      </c>
      <c r="D21" s="33" t="s">
        <v>25</v>
      </c>
      <c r="E21" s="34"/>
      <c r="F21" s="18">
        <f>C22-C21+1</f>
        <v>184</v>
      </c>
      <c r="G21" s="17"/>
    </row>
    <row r="22" spans="1:7" ht="15.75" customHeight="1" x14ac:dyDescent="0.25">
      <c r="B22" s="16" t="s">
        <v>26</v>
      </c>
      <c r="C22" s="35">
        <v>46387</v>
      </c>
      <c r="D22" s="33" t="s">
        <v>27</v>
      </c>
      <c r="E22" s="34"/>
      <c r="F22" s="19">
        <f>F21/7</f>
        <v>26.285714285714285</v>
      </c>
      <c r="G22" s="17"/>
    </row>
    <row r="23" spans="1:7" ht="15.75" customHeight="1" x14ac:dyDescent="0.25">
      <c r="B23" s="16" t="s">
        <v>28</v>
      </c>
      <c r="C23" s="20">
        <v>3</v>
      </c>
      <c r="D23" s="33" t="s">
        <v>29</v>
      </c>
      <c r="E23" s="34"/>
      <c r="F23" s="18">
        <f>ROUND(F22*C23,0)</f>
        <v>79</v>
      </c>
      <c r="G23" s="17"/>
    </row>
    <row r="25" spans="1:7" ht="30" customHeight="1" x14ac:dyDescent="0.25">
      <c r="A25" s="21" t="s">
        <v>30</v>
      </c>
      <c r="B25" s="21" t="s">
        <v>31</v>
      </c>
      <c r="C25" s="21" t="s">
        <v>32</v>
      </c>
      <c r="D25" s="21" t="s">
        <v>33</v>
      </c>
      <c r="E25" s="21" t="s">
        <v>34</v>
      </c>
      <c r="F25" s="21" t="s">
        <v>35</v>
      </c>
      <c r="G25" s="21" t="s">
        <v>36</v>
      </c>
    </row>
    <row r="26" spans="1:7" ht="51" customHeight="1" x14ac:dyDescent="0.25">
      <c r="A26" s="18">
        <v>1</v>
      </c>
      <c r="B26" s="22" t="s">
        <v>37</v>
      </c>
      <c r="C26" s="20">
        <v>12</v>
      </c>
      <c r="D26" s="18" t="s">
        <v>38</v>
      </c>
      <c r="E26" s="18">
        <f>F21</f>
        <v>184</v>
      </c>
      <c r="F26" s="23">
        <v>11.5</v>
      </c>
      <c r="G26" s="24">
        <f>C26*E26*F26</f>
        <v>25392</v>
      </c>
    </row>
    <row r="27" spans="1:7" ht="45" customHeight="1" x14ac:dyDescent="0.25">
      <c r="A27" s="25">
        <v>2</v>
      </c>
      <c r="B27" s="26" t="s">
        <v>39</v>
      </c>
      <c r="C27" s="27">
        <v>2</v>
      </c>
      <c r="D27" s="25" t="s">
        <v>38</v>
      </c>
      <c r="E27" s="25">
        <f>F21</f>
        <v>184</v>
      </c>
      <c r="F27" s="28">
        <v>10.5</v>
      </c>
      <c r="G27" s="29">
        <f>C27*E27*F27</f>
        <v>3864</v>
      </c>
    </row>
    <row r="28" spans="1:7" ht="51" x14ac:dyDescent="0.25">
      <c r="A28" s="18">
        <v>3</v>
      </c>
      <c r="B28" s="22" t="s">
        <v>40</v>
      </c>
      <c r="C28" s="20">
        <v>14</v>
      </c>
      <c r="D28" s="18" t="s">
        <v>41</v>
      </c>
      <c r="E28" s="18">
        <f>F23</f>
        <v>79</v>
      </c>
      <c r="F28" s="23">
        <v>96.5</v>
      </c>
      <c r="G28" s="24">
        <f>C28*E28*F28</f>
        <v>106729</v>
      </c>
    </row>
    <row r="30" spans="1:7" x14ac:dyDescent="0.25">
      <c r="A30" s="3" t="s">
        <v>42</v>
      </c>
      <c r="B30" s="3"/>
      <c r="C30" s="3"/>
      <c r="D30" s="3"/>
      <c r="E30" s="3"/>
      <c r="F30" s="3"/>
      <c r="G30" s="30">
        <f>SUM(G26:G28)</f>
        <v>135985</v>
      </c>
    </row>
    <row r="31" spans="1:7" x14ac:dyDescent="0.25">
      <c r="A31" s="3" t="s">
        <v>43</v>
      </c>
      <c r="B31" s="3"/>
      <c r="C31" s="3"/>
      <c r="D31" s="3"/>
      <c r="E31" s="3"/>
      <c r="F31" s="3"/>
      <c r="G31" s="24">
        <f>G30*0.15</f>
        <v>20397.75</v>
      </c>
    </row>
    <row r="32" spans="1:7" ht="21.75" customHeight="1" x14ac:dyDescent="0.25">
      <c r="A32" s="2" t="s">
        <v>44</v>
      </c>
      <c r="B32" s="2"/>
      <c r="C32" s="2"/>
      <c r="D32" s="2"/>
      <c r="E32" s="2"/>
      <c r="F32" s="2"/>
      <c r="G32" s="31">
        <f>G30+G31</f>
        <v>156382.75</v>
      </c>
    </row>
    <row r="34" spans="2:7" x14ac:dyDescent="0.25">
      <c r="B34" s="12" t="s">
        <v>45</v>
      </c>
    </row>
    <row r="35" spans="2:7" x14ac:dyDescent="0.25">
      <c r="B35" s="13" t="s">
        <v>46</v>
      </c>
      <c r="C35" s="11" t="s">
        <v>47</v>
      </c>
      <c r="D35" s="11"/>
      <c r="E35" s="11"/>
      <c r="F35" s="11"/>
      <c r="G35" s="11"/>
    </row>
    <row r="36" spans="2:7" x14ac:dyDescent="0.25">
      <c r="B36" s="13" t="s">
        <v>48</v>
      </c>
      <c r="C36" s="11" t="s">
        <v>49</v>
      </c>
      <c r="D36" s="11"/>
      <c r="E36" s="11"/>
      <c r="F36" s="11"/>
      <c r="G36" s="11"/>
    </row>
    <row r="37" spans="2:7" x14ac:dyDescent="0.25">
      <c r="B37" s="13" t="s">
        <v>50</v>
      </c>
      <c r="C37" s="11" t="s">
        <v>51</v>
      </c>
      <c r="D37" s="11"/>
      <c r="E37" s="11"/>
      <c r="F37" s="11"/>
      <c r="G37" s="11"/>
    </row>
    <row r="38" spans="2:7" x14ac:dyDescent="0.25">
      <c r="B38" s="13" t="s">
        <v>52</v>
      </c>
      <c r="C38" s="11" t="s">
        <v>53</v>
      </c>
      <c r="D38" s="11"/>
      <c r="E38" s="11"/>
      <c r="F38" s="11"/>
      <c r="G38" s="11"/>
    </row>
    <row r="40" spans="2:7" x14ac:dyDescent="0.25">
      <c r="B40" s="13" t="s">
        <v>54</v>
      </c>
      <c r="E40" s="13" t="s">
        <v>55</v>
      </c>
    </row>
    <row r="43" spans="2:7" x14ac:dyDescent="0.25">
      <c r="B43" s="1"/>
      <c r="C43" s="1"/>
      <c r="D43" s="1"/>
      <c r="E43" s="1"/>
      <c r="F43" s="1"/>
      <c r="G43" s="1"/>
    </row>
    <row r="44" spans="2:7" x14ac:dyDescent="0.25">
      <c r="B44" s="32" t="s">
        <v>56</v>
      </c>
      <c r="E44" s="32" t="s">
        <v>57</v>
      </c>
    </row>
  </sheetData>
  <mergeCells count="26">
    <mergeCell ref="C38:G38"/>
    <mergeCell ref="B43:D43"/>
    <mergeCell ref="E43:G43"/>
    <mergeCell ref="D21:E21"/>
    <mergeCell ref="D22:E22"/>
    <mergeCell ref="D23:E23"/>
    <mergeCell ref="A31:F31"/>
    <mergeCell ref="A32:F32"/>
    <mergeCell ref="C35:G35"/>
    <mergeCell ref="C36:G36"/>
    <mergeCell ref="C37:G37"/>
    <mergeCell ref="B15:D15"/>
    <mergeCell ref="B16:D16"/>
    <mergeCell ref="B18:G18"/>
    <mergeCell ref="B20:G20"/>
    <mergeCell ref="A30:F30"/>
    <mergeCell ref="B7:E7"/>
    <mergeCell ref="A9:G9"/>
    <mergeCell ref="B12:D12"/>
    <mergeCell ref="B13:D13"/>
    <mergeCell ref="B14:D14"/>
    <mergeCell ref="A1:G1"/>
    <mergeCell ref="B2:E4"/>
    <mergeCell ref="F2:G4"/>
    <mergeCell ref="B5:E5"/>
    <mergeCell ref="B6:E6"/>
  </mergeCells>
  <pageMargins left="0.4" right="0.4" top="0.4" bottom="0.4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BA5A42-3DC6-4B73-9DB5-B91646B746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F579E3-CFE6-4CD2-B429-8AE67DF45613}">
  <ds:schemaRefs>
    <ds:schemaRef ds:uri="http://schemas.microsoft.com/office/2006/metadata/properties"/>
    <ds:schemaRef ds:uri="http://schemas.microsoft.com/office/infopath/2007/PartnerControls"/>
    <ds:schemaRef ds:uri="f62d4ef4-b04a-4b31-a502-7b4d1ae74549"/>
    <ds:schemaRef ds:uri="3e1fb217-3513-4a84-b39a-87d8fab7c42d"/>
  </ds:schemaRefs>
</ds:datastoreItem>
</file>

<file path=customXml/itemProps3.xml><?xml version="1.0" encoding="utf-8"?>
<ds:datastoreItem xmlns:ds="http://schemas.openxmlformats.org/officeDocument/2006/customXml" ds:itemID="{08F25A57-3B7F-4374-8241-4BD49F9FCD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Quote</vt:lpstr>
      <vt:lpstr>Quote!Print_Area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Sithembe Accounts</cp:lastModifiedBy>
  <cp:revision>0</cp:revision>
  <dcterms:created xsi:type="dcterms:W3CDTF">2026-07-23T09:33:33Z</dcterms:created>
  <dcterms:modified xsi:type="dcterms:W3CDTF">2026-07-23T09:36:41Z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0x0101004F889B8502A024479EA1CF80A2D6DF12</vt:lpwstr>
  </property>
</Properties>
</file>